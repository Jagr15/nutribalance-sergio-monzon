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1bd619ea9ff35c/Desktop/formulas/"/>
    </mc:Choice>
  </mc:AlternateContent>
  <xr:revisionPtr revIDLastSave="97" documentId="11_9C021E52F4F8AB2968F903F2718D42507223F153" xr6:coauthVersionLast="47" xr6:coauthVersionMax="47" xr10:uidLastSave="{200BED6A-00DC-4CF8-993A-910E081D7334}"/>
  <bookViews>
    <workbookView xWindow="-98" yWindow="-98" windowWidth="21795" windowHeight="12975" activeTab="1" xr2:uid="{00000000-000D-0000-FFFF-FFFF00000000}"/>
  </bookViews>
  <sheets>
    <sheet name="Hoja1" sheetId="1" r:id="rId1"/>
    <sheet name="FORMULA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12" i="2"/>
  <c r="B11" i="2"/>
  <c r="B10" i="2"/>
  <c r="B7" i="2"/>
  <c r="B4" i="2"/>
  <c r="B23" i="2" l="1"/>
  <c r="B22" i="2"/>
  <c r="J18" i="2"/>
  <c r="L7" i="2" s="1"/>
  <c r="R15" i="2"/>
  <c r="V18" i="2"/>
  <c r="X17" i="2" s="1"/>
  <c r="AE4" i="2"/>
  <c r="AE14" i="2"/>
  <c r="AE16" i="2"/>
  <c r="AE17" i="2"/>
  <c r="AE9" i="2"/>
  <c r="AE11" i="2"/>
  <c r="AE7" i="2"/>
  <c r="AE6" i="2"/>
  <c r="AE13" i="2"/>
  <c r="AE12" i="2"/>
  <c r="AE10" i="2"/>
  <c r="AF38" i="2"/>
  <c r="AF39" i="2"/>
  <c r="AE8" i="2"/>
  <c r="E35" i="2"/>
  <c r="E34" i="2"/>
  <c r="E33" i="2"/>
  <c r="E36" i="2" s="1"/>
  <c r="E32" i="2"/>
  <c r="E31" i="2"/>
  <c r="E30" i="2"/>
  <c r="E29" i="2"/>
  <c r="E28" i="2"/>
  <c r="E27" i="2"/>
  <c r="E26" i="2"/>
  <c r="E25" i="2"/>
  <c r="E24" i="2"/>
  <c r="E23" i="2"/>
  <c r="D36" i="2"/>
  <c r="H9" i="2"/>
  <c r="AC18" i="2"/>
  <c r="Z5" i="2"/>
  <c r="Z6" i="2"/>
  <c r="Z7" i="2"/>
  <c r="Z8" i="2"/>
  <c r="Z9" i="2"/>
  <c r="Z10" i="2"/>
  <c r="Z11" i="2"/>
  <c r="Z12" i="2"/>
  <c r="Z13" i="2"/>
  <c r="Z14" i="2"/>
  <c r="Z15" i="2"/>
  <c r="Z16" i="2"/>
  <c r="Z4" i="2"/>
  <c r="Y18" i="2"/>
  <c r="W5" i="2"/>
  <c r="W6" i="2"/>
  <c r="W7" i="2"/>
  <c r="W8" i="2"/>
  <c r="W9" i="2"/>
  <c r="W10" i="2"/>
  <c r="W11" i="2"/>
  <c r="W12" i="2"/>
  <c r="W13" i="2"/>
  <c r="W14" i="2"/>
  <c r="W15" i="2"/>
  <c r="W16" i="2"/>
  <c r="W4" i="2"/>
  <c r="W18" i="2" s="1"/>
  <c r="X6" i="2"/>
  <c r="T5" i="2"/>
  <c r="T6" i="2"/>
  <c r="T7" i="2"/>
  <c r="T8" i="2"/>
  <c r="T9" i="2"/>
  <c r="T10" i="2"/>
  <c r="T11" i="2"/>
  <c r="T12" i="2"/>
  <c r="T13" i="2"/>
  <c r="T14" i="2"/>
  <c r="T15" i="2"/>
  <c r="T16" i="2"/>
  <c r="T4" i="2"/>
  <c r="S18" i="2"/>
  <c r="U14" i="2" s="1"/>
  <c r="AA4" i="2"/>
  <c r="AA14" i="2"/>
  <c r="AA16" i="2"/>
  <c r="AA12" i="2"/>
  <c r="AA10" i="2"/>
  <c r="AA8" i="2"/>
  <c r="AA6" i="2"/>
  <c r="AA13" i="2"/>
  <c r="AA11" i="2"/>
  <c r="AA9" i="2"/>
  <c r="AA7" i="2"/>
  <c r="AA5" i="2"/>
  <c r="G18" i="2"/>
  <c r="I11" i="2" s="1"/>
  <c r="D18" i="2"/>
  <c r="F14" i="2" s="1"/>
  <c r="H16" i="2"/>
  <c r="E16" i="2"/>
  <c r="Q5" i="2"/>
  <c r="Q18" i="2" s="1"/>
  <c r="Q6" i="2"/>
  <c r="Q8" i="2"/>
  <c r="Q9" i="2"/>
  <c r="Q10" i="2"/>
  <c r="Q11" i="2"/>
  <c r="Q12" i="2"/>
  <c r="Q13" i="2"/>
  <c r="Q14" i="2"/>
  <c r="Q15" i="2"/>
  <c r="Q16" i="2"/>
  <c r="Q4" i="2"/>
  <c r="P18" i="2"/>
  <c r="F28" i="2" s="1"/>
  <c r="N5" i="2"/>
  <c r="N6" i="2"/>
  <c r="N7" i="2"/>
  <c r="N8" i="2"/>
  <c r="N9" i="2"/>
  <c r="N10" i="2"/>
  <c r="N11" i="2"/>
  <c r="N12" i="2"/>
  <c r="N13" i="2"/>
  <c r="N14" i="2"/>
  <c r="N15" i="2"/>
  <c r="N16" i="2"/>
  <c r="M18" i="2"/>
  <c r="O13" i="2" s="1"/>
  <c r="N4" i="2"/>
  <c r="K5" i="2"/>
  <c r="K6" i="2"/>
  <c r="K7" i="2"/>
  <c r="K8" i="2"/>
  <c r="K18" i="2" s="1"/>
  <c r="K9" i="2"/>
  <c r="K10" i="2"/>
  <c r="K11" i="2"/>
  <c r="K12" i="2"/>
  <c r="K13" i="2"/>
  <c r="K14" i="2"/>
  <c r="K15" i="2"/>
  <c r="K16" i="2"/>
  <c r="K4" i="2"/>
  <c r="H4" i="2"/>
  <c r="H5" i="2"/>
  <c r="H6" i="2"/>
  <c r="H7" i="2"/>
  <c r="H8" i="2"/>
  <c r="H10" i="2"/>
  <c r="H11" i="2"/>
  <c r="H12" i="2"/>
  <c r="H13" i="2"/>
  <c r="H14" i="2"/>
  <c r="H15" i="2"/>
  <c r="M7" i="1"/>
  <c r="M14" i="1" s="1"/>
  <c r="E5" i="2"/>
  <c r="E6" i="2"/>
  <c r="E7" i="2"/>
  <c r="E8" i="2"/>
  <c r="E9" i="2"/>
  <c r="E10" i="2"/>
  <c r="E11" i="2"/>
  <c r="E12" i="2"/>
  <c r="E13" i="2"/>
  <c r="E14" i="2"/>
  <c r="E15" i="2"/>
  <c r="E4" i="2"/>
  <c r="R6" i="2"/>
  <c r="F26" i="2"/>
  <c r="F30" i="2"/>
  <c r="F23" i="2"/>
  <c r="F31" i="2"/>
  <c r="F35" i="2"/>
  <c r="F29" i="2"/>
  <c r="F24" i="2"/>
  <c r="R12" i="2"/>
  <c r="R4" i="2"/>
  <c r="R9" i="2"/>
  <c r="R11" i="2"/>
  <c r="R13" i="2"/>
  <c r="R5" i="2"/>
  <c r="R10" i="2"/>
  <c r="R8" i="2"/>
  <c r="O12" i="2"/>
  <c r="O4" i="2"/>
  <c r="O16" i="2"/>
  <c r="O14" i="2"/>
  <c r="O10" i="2"/>
  <c r="O8" i="2"/>
  <c r="O6" i="2"/>
  <c r="O15" i="2"/>
  <c r="O9" i="2"/>
  <c r="L13" i="2"/>
  <c r="L4" i="2"/>
  <c r="L5" i="2"/>
  <c r="L16" i="2"/>
  <c r="L12" i="2"/>
  <c r="L8" i="2"/>
  <c r="L11" i="2"/>
  <c r="L14" i="2"/>
  <c r="H12" i="1"/>
  <c r="H16" i="1" s="1"/>
  <c r="H15" i="1"/>
  <c r="M13" i="1"/>
  <c r="Q13" i="1"/>
  <c r="Q29" i="1"/>
  <c r="M29" i="1"/>
  <c r="H27" i="1"/>
  <c r="Q28" i="1"/>
  <c r="Q27" i="1"/>
  <c r="Q26" i="1"/>
  <c r="Q25" i="1"/>
  <c r="Q24" i="1"/>
  <c r="Q23" i="1"/>
  <c r="Q22" i="1"/>
  <c r="Q30" i="1" s="1"/>
  <c r="Q21" i="1"/>
  <c r="Q20" i="1"/>
  <c r="P30" i="1"/>
  <c r="M28" i="1"/>
  <c r="M27" i="1"/>
  <c r="M26" i="1"/>
  <c r="M25" i="1"/>
  <c r="B13" i="1"/>
  <c r="M24" i="1" s="1"/>
  <c r="M30" i="1" s="1"/>
  <c r="M23" i="1"/>
  <c r="M22" i="1"/>
  <c r="M21" i="1"/>
  <c r="M20" i="1"/>
  <c r="L30" i="1"/>
  <c r="H26" i="1"/>
  <c r="H25" i="1"/>
  <c r="H24" i="1"/>
  <c r="H21" i="1"/>
  <c r="H28" i="1" s="1"/>
  <c r="H23" i="1"/>
  <c r="H22" i="1"/>
  <c r="H20" i="1"/>
  <c r="G28" i="1"/>
  <c r="H6" i="1"/>
  <c r="H7" i="1"/>
  <c r="H8" i="1"/>
  <c r="H9" i="1"/>
  <c r="H10" i="1"/>
  <c r="H11" i="1"/>
  <c r="H13" i="1"/>
  <c r="H14" i="1"/>
  <c r="G16" i="1"/>
  <c r="Q6" i="1"/>
  <c r="Q14" i="1" s="1"/>
  <c r="Q7" i="1"/>
  <c r="Q8" i="1"/>
  <c r="Q9" i="1"/>
  <c r="Q10" i="1"/>
  <c r="Q11" i="1"/>
  <c r="Q12" i="1"/>
  <c r="P14" i="1"/>
  <c r="M12" i="1"/>
  <c r="M11" i="1"/>
  <c r="M10" i="1"/>
  <c r="M9" i="1"/>
  <c r="M8" i="1"/>
  <c r="M6" i="1"/>
  <c r="L14" i="1"/>
  <c r="U5" i="2" l="1"/>
  <c r="T18" i="2"/>
  <c r="U16" i="2"/>
  <c r="Z18" i="2"/>
  <c r="N18" i="2"/>
  <c r="H18" i="2"/>
  <c r="I16" i="2"/>
  <c r="I14" i="2"/>
  <c r="L9" i="2"/>
  <c r="L10" i="2"/>
  <c r="L6" i="2"/>
  <c r="E18" i="2"/>
  <c r="F16" i="2"/>
  <c r="AA18" i="2"/>
  <c r="F9" i="2"/>
  <c r="L15" i="2"/>
  <c r="F5" i="2"/>
  <c r="X12" i="2"/>
  <c r="I13" i="2"/>
  <c r="I10" i="2"/>
  <c r="I8" i="2"/>
  <c r="F7" i="2"/>
  <c r="F32" i="2"/>
  <c r="U6" i="2"/>
  <c r="X15" i="2"/>
  <c r="I6" i="2"/>
  <c r="F34" i="2"/>
  <c r="X10" i="2"/>
  <c r="F13" i="2"/>
  <c r="X14" i="2"/>
  <c r="F6" i="2"/>
  <c r="X16" i="2"/>
  <c r="F8" i="2"/>
  <c r="F4" i="2"/>
  <c r="I7" i="2"/>
  <c r="R14" i="2"/>
  <c r="F11" i="2"/>
  <c r="O7" i="2"/>
  <c r="R16" i="2"/>
  <c r="F27" i="2"/>
  <c r="O5" i="2"/>
  <c r="U8" i="2"/>
  <c r="X9" i="2"/>
  <c r="I5" i="2"/>
  <c r="X8" i="2"/>
  <c r="AE15" i="2"/>
  <c r="AE18" i="2" s="1"/>
  <c r="X5" i="2"/>
  <c r="U13" i="2"/>
  <c r="X7" i="2"/>
  <c r="I9" i="2"/>
  <c r="U15" i="2"/>
  <c r="U4" i="2"/>
  <c r="X13" i="2"/>
  <c r="I4" i="2"/>
  <c r="F15" i="2"/>
  <c r="F12" i="2"/>
  <c r="O11" i="2"/>
  <c r="R7" i="2"/>
  <c r="F25" i="2"/>
  <c r="U12" i="2"/>
  <c r="AA15" i="2"/>
  <c r="I12" i="2"/>
  <c r="U7" i="2"/>
  <c r="F10" i="2"/>
  <c r="U9" i="2"/>
  <c r="X11" i="2"/>
  <c r="F33" i="2"/>
  <c r="U10" i="2"/>
  <c r="X4" i="2"/>
  <c r="I15" i="2"/>
  <c r="L18" i="2" l="1"/>
  <c r="F36" i="2"/>
  <c r="O18" i="2"/>
  <c r="R18" i="2"/>
  <c r="Q21" i="2" s="1"/>
  <c r="AG18" i="2"/>
  <c r="AI18" i="2" s="1"/>
  <c r="I18" i="2"/>
  <c r="I20" i="2" s="1"/>
  <c r="X18" i="2"/>
  <c r="U18" i="2"/>
  <c r="U19" i="2" s="1"/>
  <c r="F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543436211836</author>
  </authors>
  <commentList>
    <comment ref="U2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puesto en campo mas iva  FACTURA A 15 DIAS</t>
        </r>
      </text>
    </comment>
  </commentList>
</comments>
</file>

<file path=xl/sharedStrings.xml><?xml version="1.0" encoding="utf-8"?>
<sst xmlns="http://schemas.openxmlformats.org/spreadsheetml/2006/main" count="131" uniqueCount="54">
  <si>
    <t>soja</t>
  </si>
  <si>
    <t>fazon</t>
  </si>
  <si>
    <t>madera</t>
  </si>
  <si>
    <t>afrechillo</t>
  </si>
  <si>
    <t>sal</t>
  </si>
  <si>
    <t>nucleo</t>
  </si>
  <si>
    <t xml:space="preserve">maiz </t>
  </si>
  <si>
    <t>maiz</t>
  </si>
  <si>
    <t>conchilla</t>
  </si>
  <si>
    <t>urea</t>
  </si>
  <si>
    <t>viruta</t>
  </si>
  <si>
    <t xml:space="preserve">Materias primas </t>
  </si>
  <si>
    <t xml:space="preserve">Lechera 13% PB alta energia </t>
  </si>
  <si>
    <t>bentonita</t>
  </si>
  <si>
    <t>soja harina HP</t>
  </si>
  <si>
    <t>expeller de soja 42%</t>
  </si>
  <si>
    <t>Lechera 16% PB</t>
  </si>
  <si>
    <t xml:space="preserve">bentonita </t>
  </si>
  <si>
    <t xml:space="preserve">Lechera 18% PB  </t>
  </si>
  <si>
    <t xml:space="preserve">MADERA </t>
  </si>
  <si>
    <t>MAIZ</t>
  </si>
  <si>
    <t>AFRECHILLO</t>
  </si>
  <si>
    <t>SOJA</t>
  </si>
  <si>
    <t xml:space="preserve">UREA </t>
  </si>
  <si>
    <t>NUCLEO</t>
  </si>
  <si>
    <t xml:space="preserve">MAGNESIO </t>
  </si>
  <si>
    <t>SAL</t>
  </si>
  <si>
    <t xml:space="preserve">CONCHILLA </t>
  </si>
  <si>
    <t>Precios x tn</t>
  </si>
  <si>
    <t xml:space="preserve">Engorde SF </t>
  </si>
  <si>
    <t xml:space="preserve">Recria SF </t>
  </si>
  <si>
    <t>Smart Adaptacion</t>
  </si>
  <si>
    <t xml:space="preserve">GLOBAMAX </t>
  </si>
  <si>
    <t>BENTONITA</t>
  </si>
  <si>
    <t xml:space="preserve">BENTONITA </t>
  </si>
  <si>
    <t>magnesio</t>
  </si>
  <si>
    <t>PB</t>
  </si>
  <si>
    <t>Alimento</t>
  </si>
  <si>
    <t>kg/tn</t>
  </si>
  <si>
    <t>Costo</t>
  </si>
  <si>
    <t>Recria 16%</t>
  </si>
  <si>
    <t>Engorde 13%</t>
  </si>
  <si>
    <t>Recria Smart</t>
  </si>
  <si>
    <t>Engorde Smart</t>
  </si>
  <si>
    <t>Adaptación Smart</t>
  </si>
  <si>
    <t>alfa</t>
  </si>
  <si>
    <t xml:space="preserve">CRIANZA </t>
  </si>
  <si>
    <t>pellets smart</t>
  </si>
  <si>
    <t>cascara de soja</t>
  </si>
  <si>
    <t>Lechera 16% sack</t>
  </si>
  <si>
    <t>nucleo crianza</t>
  </si>
  <si>
    <t>nucleo mantenimiento</t>
  </si>
  <si>
    <t>Lechera 18% PB</t>
  </si>
  <si>
    <t xml:space="preserve">nucleo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</si>
</sst>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.000000"/>
  </numFmts>
  <fonts count="10" x14ac:knownFonts="1">
    <font>
      <sz val="11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64" fontId="0" fillId="0" borderId="0" xfId="0" applyNumberFormat="1"/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3" fillId="0" borderId="0" xfId="0" applyFont="1"/>
    <xf numFmtId="10" fontId="0" fillId="0" borderId="0" xfId="0" applyNumberFormat="1"/>
    <xf numFmtId="164" fontId="3" fillId="0" borderId="0" xfId="0" applyNumberFormat="1" applyFont="1"/>
    <xf numFmtId="0" fontId="4" fillId="0" borderId="0" xfId="0" applyFont="1"/>
    <xf numFmtId="10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7" fillId="0" borderId="0" xfId="0" applyNumberFormat="1" applyFont="1" applyAlignment="1">
      <alignment horizontal="center" vertical="center"/>
    </xf>
    <xf numFmtId="2" fontId="0" fillId="7" borderId="0" xfId="0" applyNumberFormat="1" applyFill="1" applyAlignment="1">
      <alignment horizont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6" fillId="0" borderId="0" xfId="0" applyFont="1"/>
    <xf numFmtId="164" fontId="0" fillId="0" borderId="0" xfId="0" applyNumberForma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/>
    </xf>
    <xf numFmtId="164" fontId="0" fillId="6" borderId="0" xfId="0" applyNumberFormat="1" applyFill="1" applyAlignment="1">
      <alignment horizontal="center"/>
    </xf>
    <xf numFmtId="165" fontId="0" fillId="0" borderId="0" xfId="0" applyNumberFormat="1"/>
    <xf numFmtId="0" fontId="0" fillId="10" borderId="0" xfId="0" applyFill="1"/>
    <xf numFmtId="0" fontId="0" fillId="9" borderId="0" xfId="0" applyFill="1"/>
    <xf numFmtId="164" fontId="0" fillId="10" borderId="0" xfId="0" applyNumberFormat="1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0" xfId="0" applyFill="1"/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Q30"/>
  <sheetViews>
    <sheetView topLeftCell="E3" workbookViewId="0">
      <selection activeCell="T22" sqref="T22"/>
    </sheetView>
  </sheetViews>
  <sheetFormatPr baseColWidth="10" defaultRowHeight="14.25" x14ac:dyDescent="0.45"/>
  <cols>
    <col min="1" max="1" width="19.73046875" customWidth="1"/>
    <col min="8" max="8" width="11.3984375" customWidth="1"/>
    <col min="11" max="11" width="12.265625" customWidth="1"/>
  </cols>
  <sheetData>
    <row r="4" spans="1:17" ht="21" x14ac:dyDescent="0.65">
      <c r="A4" s="3" t="s">
        <v>11</v>
      </c>
      <c r="B4" s="12" t="s">
        <v>28</v>
      </c>
      <c r="F4" s="1" t="s">
        <v>30</v>
      </c>
      <c r="G4" s="2"/>
      <c r="K4" s="8" t="s">
        <v>12</v>
      </c>
      <c r="O4" s="8" t="s">
        <v>16</v>
      </c>
    </row>
    <row r="5" spans="1:17" x14ac:dyDescent="0.45">
      <c r="A5" t="s">
        <v>14</v>
      </c>
      <c r="B5" s="4">
        <v>105165</v>
      </c>
      <c r="F5" s="2"/>
      <c r="G5" s="5"/>
    </row>
    <row r="6" spans="1:17" x14ac:dyDescent="0.45">
      <c r="A6" t="s">
        <v>2</v>
      </c>
      <c r="B6" s="4">
        <v>116000</v>
      </c>
      <c r="F6" s="2" t="s">
        <v>2</v>
      </c>
      <c r="G6" s="5">
        <v>0.18290000000000001</v>
      </c>
      <c r="H6" s="7">
        <f>B6*G6</f>
        <v>21216.400000000001</v>
      </c>
      <c r="K6" s="2" t="s">
        <v>3</v>
      </c>
      <c r="L6" s="10">
        <v>0.26650000000000001</v>
      </c>
      <c r="M6" s="4">
        <f>L6*B7</f>
        <v>13325</v>
      </c>
      <c r="O6" s="2" t="s">
        <v>3</v>
      </c>
      <c r="P6" s="10">
        <v>0.54649999999999999</v>
      </c>
      <c r="Q6" s="4">
        <f>P6*B7</f>
        <v>27325</v>
      </c>
    </row>
    <row r="7" spans="1:17" x14ac:dyDescent="0.45">
      <c r="A7" t="s">
        <v>3</v>
      </c>
      <c r="B7" s="4">
        <v>50000</v>
      </c>
      <c r="F7" s="2" t="s">
        <v>3</v>
      </c>
      <c r="G7" s="5">
        <v>0.44779999999999998</v>
      </c>
      <c r="H7" s="7">
        <f>G7*B7</f>
        <v>22390</v>
      </c>
      <c r="K7" s="2" t="s">
        <v>0</v>
      </c>
      <c r="L7" s="10">
        <v>0.09</v>
      </c>
      <c r="M7" s="4">
        <f>L7*B5</f>
        <v>9464.85</v>
      </c>
      <c r="O7" s="2" t="s">
        <v>0</v>
      </c>
      <c r="P7" s="10">
        <v>0.11</v>
      </c>
      <c r="Q7" s="4">
        <f>P7*B5</f>
        <v>11568.15</v>
      </c>
    </row>
    <row r="8" spans="1:17" x14ac:dyDescent="0.45">
      <c r="A8" t="s">
        <v>4</v>
      </c>
      <c r="B8" s="4">
        <v>18550</v>
      </c>
      <c r="F8" s="2" t="s">
        <v>0</v>
      </c>
      <c r="G8" s="5">
        <v>8.2000000000000003E-2</v>
      </c>
      <c r="H8" s="7">
        <f>G8*B5</f>
        <v>8623.5300000000007</v>
      </c>
      <c r="K8" s="2" t="s">
        <v>6</v>
      </c>
      <c r="L8" s="10">
        <v>0.6</v>
      </c>
      <c r="M8" s="4">
        <f>L8*B10</f>
        <v>30300</v>
      </c>
      <c r="O8" s="2" t="s">
        <v>6</v>
      </c>
      <c r="P8" s="10">
        <v>0.3</v>
      </c>
      <c r="Q8" s="4">
        <f>P8*B10</f>
        <v>15150</v>
      </c>
    </row>
    <row r="9" spans="1:17" x14ac:dyDescent="0.45">
      <c r="A9" t="s">
        <v>5</v>
      </c>
      <c r="B9" s="4">
        <v>733590</v>
      </c>
      <c r="F9" s="2" t="s">
        <v>6</v>
      </c>
      <c r="G9" s="5">
        <v>0.25230000000000002</v>
      </c>
      <c r="H9" s="7">
        <f>G9*B10</f>
        <v>12741.150000000001</v>
      </c>
      <c r="K9" s="2" t="s">
        <v>4</v>
      </c>
      <c r="L9" s="10">
        <v>7.4999999999999997E-3</v>
      </c>
      <c r="M9" s="4">
        <f>L9*B8</f>
        <v>139.125</v>
      </c>
      <c r="O9" s="2" t="s">
        <v>4</v>
      </c>
      <c r="P9" s="10">
        <v>7.4999999999999997E-3</v>
      </c>
      <c r="Q9" s="4">
        <f>P9*B8</f>
        <v>139.125</v>
      </c>
    </row>
    <row r="10" spans="1:17" x14ac:dyDescent="0.45">
      <c r="A10" t="s">
        <v>7</v>
      </c>
      <c r="B10" s="4">
        <v>50500</v>
      </c>
      <c r="F10" s="2" t="s">
        <v>4</v>
      </c>
      <c r="G10" s="5">
        <v>1.12E-2</v>
      </c>
      <c r="H10" s="7">
        <f>G10*B8</f>
        <v>207.76</v>
      </c>
      <c r="K10" s="2" t="s">
        <v>8</v>
      </c>
      <c r="L10" s="10">
        <v>0.03</v>
      </c>
      <c r="M10" s="4">
        <f>L10*B11</f>
        <v>750</v>
      </c>
      <c r="O10" s="2" t="s">
        <v>8</v>
      </c>
      <c r="P10" s="10">
        <v>0.03</v>
      </c>
      <c r="Q10" s="4">
        <f>P10*B11</f>
        <v>750</v>
      </c>
    </row>
    <row r="11" spans="1:17" x14ac:dyDescent="0.45">
      <c r="A11" t="s">
        <v>8</v>
      </c>
      <c r="B11" s="4">
        <v>25000</v>
      </c>
      <c r="F11" s="2" t="s">
        <v>8</v>
      </c>
      <c r="G11" s="5">
        <v>1.49E-2</v>
      </c>
      <c r="H11" s="7">
        <f>G11*B11</f>
        <v>372.5</v>
      </c>
      <c r="K11" s="2" t="s">
        <v>35</v>
      </c>
      <c r="L11" s="10">
        <v>4.0000000000000001E-3</v>
      </c>
      <c r="M11" s="4">
        <f>L11*B12</f>
        <v>0</v>
      </c>
      <c r="O11" s="2" t="s">
        <v>35</v>
      </c>
      <c r="P11" s="10">
        <v>4.0000000000000001E-3</v>
      </c>
      <c r="Q11" s="4">
        <f>P11*B12</f>
        <v>0</v>
      </c>
    </row>
    <row r="12" spans="1:17" x14ac:dyDescent="0.45">
      <c r="A12" t="s">
        <v>35</v>
      </c>
      <c r="B12" s="4">
        <v>0</v>
      </c>
      <c r="F12" s="2" t="s">
        <v>35</v>
      </c>
      <c r="G12" s="5">
        <v>0</v>
      </c>
      <c r="H12" s="7">
        <f>G12*B12</f>
        <v>0</v>
      </c>
      <c r="K12" s="2" t="s">
        <v>5</v>
      </c>
      <c r="L12" s="10">
        <v>2E-3</v>
      </c>
      <c r="M12" s="4">
        <f>L12*B9</f>
        <v>1467.18</v>
      </c>
      <c r="O12" s="2" t="s">
        <v>5</v>
      </c>
      <c r="P12" s="10">
        <v>2E-3</v>
      </c>
      <c r="Q12" s="4">
        <f>P12*B9</f>
        <v>1467.18</v>
      </c>
    </row>
    <row r="13" spans="1:17" x14ac:dyDescent="0.45">
      <c r="A13" t="s">
        <v>9</v>
      </c>
      <c r="B13" s="4">
        <f>(564*255.5)</f>
        <v>144102</v>
      </c>
      <c r="F13" s="2" t="s">
        <v>5</v>
      </c>
      <c r="G13" s="5">
        <v>2E-3</v>
      </c>
      <c r="H13" s="7">
        <f>G13*B9</f>
        <v>1467.18</v>
      </c>
      <c r="K13" s="2" t="s">
        <v>13</v>
      </c>
      <c r="L13" s="10">
        <v>0</v>
      </c>
      <c r="M13" s="4">
        <f>L13*B17</f>
        <v>0</v>
      </c>
      <c r="O13" s="2" t="s">
        <v>17</v>
      </c>
      <c r="P13" s="10">
        <v>0</v>
      </c>
      <c r="Q13" s="4">
        <f>P13*B17</f>
        <v>0</v>
      </c>
    </row>
    <row r="14" spans="1:17" x14ac:dyDescent="0.45">
      <c r="A14" t="s">
        <v>1</v>
      </c>
      <c r="B14" s="4">
        <v>27664.95</v>
      </c>
      <c r="F14" s="2" t="s">
        <v>9</v>
      </c>
      <c r="G14" s="5">
        <v>6.8999999999999999E-3</v>
      </c>
      <c r="H14" s="7">
        <f>G14*B13</f>
        <v>994.30380000000002</v>
      </c>
      <c r="L14" s="10">
        <f>SUM(L6:L13)</f>
        <v>1</v>
      </c>
      <c r="M14" s="11">
        <f>SUM(M6:M13)</f>
        <v>55446.154999999999</v>
      </c>
      <c r="P14" s="10">
        <f>SUM(P6:P13)</f>
        <v>0.99999999999999989</v>
      </c>
      <c r="Q14" s="11">
        <f>SUM(Q6:Q13)</f>
        <v>56399.455000000002</v>
      </c>
    </row>
    <row r="15" spans="1:17" x14ac:dyDescent="0.45">
      <c r="A15" t="s">
        <v>10</v>
      </c>
      <c r="B15" s="4">
        <v>22000</v>
      </c>
      <c r="D15" s="2"/>
      <c r="F15" s="2" t="s">
        <v>13</v>
      </c>
      <c r="G15" s="5">
        <v>0</v>
      </c>
      <c r="H15" s="4">
        <f>G15*B17</f>
        <v>0</v>
      </c>
    </row>
    <row r="16" spans="1:17" x14ac:dyDescent="0.45">
      <c r="A16" t="s">
        <v>15</v>
      </c>
      <c r="B16" s="4">
        <v>125000</v>
      </c>
      <c r="G16" s="5">
        <f>SUM(G6:G15)</f>
        <v>1</v>
      </c>
      <c r="H16" s="6">
        <f>SUM(H5:H15)</f>
        <v>68012.823799999984</v>
      </c>
    </row>
    <row r="17" spans="1:17" x14ac:dyDescent="0.45">
      <c r="A17" t="s">
        <v>34</v>
      </c>
      <c r="B17" s="4">
        <v>21560</v>
      </c>
    </row>
    <row r="18" spans="1:17" ht="21" x14ac:dyDescent="0.65">
      <c r="F18" s="8" t="s">
        <v>18</v>
      </c>
      <c r="K18" s="12" t="s">
        <v>29</v>
      </c>
      <c r="O18" s="12" t="s">
        <v>31</v>
      </c>
    </row>
    <row r="20" spans="1:17" x14ac:dyDescent="0.45">
      <c r="F20" s="2" t="s">
        <v>3</v>
      </c>
      <c r="G20" s="10">
        <v>0.33650000000000002</v>
      </c>
      <c r="H20" s="4">
        <f>G20*B7</f>
        <v>16825</v>
      </c>
      <c r="K20" t="s">
        <v>19</v>
      </c>
      <c r="L20" s="10">
        <v>0.14000000000000001</v>
      </c>
      <c r="M20" s="4">
        <f>L20*B6</f>
        <v>16240.000000000002</v>
      </c>
      <c r="O20" t="s">
        <v>19</v>
      </c>
      <c r="P20" s="13">
        <v>0.19040000000000001</v>
      </c>
      <c r="Q20" s="4">
        <f>P20*B6</f>
        <v>22086.400000000001</v>
      </c>
    </row>
    <row r="21" spans="1:17" x14ac:dyDescent="0.45">
      <c r="F21" s="2" t="s">
        <v>0</v>
      </c>
      <c r="G21" s="10">
        <v>0.22</v>
      </c>
      <c r="H21" s="4">
        <f>G21*B5</f>
        <v>23136.3</v>
      </c>
      <c r="K21" t="s">
        <v>20</v>
      </c>
      <c r="L21" s="10">
        <v>0.52</v>
      </c>
      <c r="M21" s="4">
        <f>L21*B10</f>
        <v>26260</v>
      </c>
      <c r="O21" t="s">
        <v>20</v>
      </c>
      <c r="P21" s="13">
        <v>0.29199999999999998</v>
      </c>
      <c r="Q21" s="4">
        <f>P21*B10</f>
        <v>14745.999999999998</v>
      </c>
    </row>
    <row r="22" spans="1:17" x14ac:dyDescent="0.45">
      <c r="F22" s="2" t="s">
        <v>6</v>
      </c>
      <c r="G22" s="10">
        <v>0.4</v>
      </c>
      <c r="H22" s="4">
        <f>G22*B10</f>
        <v>20200</v>
      </c>
      <c r="K22" t="s">
        <v>21</v>
      </c>
      <c r="L22" s="10">
        <v>0.28199999999999997</v>
      </c>
      <c r="M22" s="4">
        <f>L22*B7</f>
        <v>14099.999999999998</v>
      </c>
      <c r="O22" t="s">
        <v>21</v>
      </c>
      <c r="P22" s="13">
        <v>0.36809999999999998</v>
      </c>
      <c r="Q22" s="4">
        <f>P22*B7</f>
        <v>18405</v>
      </c>
    </row>
    <row r="23" spans="1:17" x14ac:dyDescent="0.45">
      <c r="F23" s="2" t="s">
        <v>4</v>
      </c>
      <c r="G23" s="10">
        <v>7.4999999999999997E-3</v>
      </c>
      <c r="H23" s="4">
        <f>G23*B8</f>
        <v>139.125</v>
      </c>
      <c r="K23" t="s">
        <v>22</v>
      </c>
      <c r="L23" s="10">
        <v>0.03</v>
      </c>
      <c r="M23" s="4">
        <f>L23*B5</f>
        <v>3154.95</v>
      </c>
      <c r="O23" t="s">
        <v>22</v>
      </c>
      <c r="P23" s="13">
        <v>0.1142</v>
      </c>
      <c r="Q23" s="4">
        <f>P23*B5</f>
        <v>12009.842999999999</v>
      </c>
    </row>
    <row r="24" spans="1:17" x14ac:dyDescent="0.45">
      <c r="F24" s="2" t="s">
        <v>8</v>
      </c>
      <c r="G24" s="10">
        <v>0.03</v>
      </c>
      <c r="H24" s="4">
        <f>G24*B11</f>
        <v>750</v>
      </c>
      <c r="K24" t="s">
        <v>23</v>
      </c>
      <c r="L24" s="10">
        <v>8.9999999999999993E-3</v>
      </c>
      <c r="M24" s="4">
        <f>L24*B13</f>
        <v>1296.9179999999999</v>
      </c>
      <c r="O24" t="s">
        <v>23</v>
      </c>
      <c r="P24" s="13">
        <v>7.0000000000000001E-3</v>
      </c>
      <c r="Q24" s="4">
        <f>P24*B13</f>
        <v>1008.7140000000001</v>
      </c>
    </row>
    <row r="25" spans="1:17" x14ac:dyDescent="0.45">
      <c r="F25" s="2" t="s">
        <v>35</v>
      </c>
      <c r="G25" s="10">
        <v>4.0000000000000001E-3</v>
      </c>
      <c r="H25" s="4">
        <f>G25*B12</f>
        <v>0</v>
      </c>
      <c r="K25" t="s">
        <v>24</v>
      </c>
      <c r="L25" s="10">
        <v>2E-3</v>
      </c>
      <c r="M25" s="4">
        <f>L25*B9</f>
        <v>1467.18</v>
      </c>
      <c r="O25" t="s">
        <v>24</v>
      </c>
      <c r="P25" s="13">
        <v>2E-3</v>
      </c>
      <c r="Q25" s="4">
        <f>P25*B9</f>
        <v>1467.18</v>
      </c>
    </row>
    <row r="26" spans="1:17" x14ac:dyDescent="0.45">
      <c r="F26" s="2" t="s">
        <v>5</v>
      </c>
      <c r="G26" s="10">
        <v>2E-3</v>
      </c>
      <c r="H26" s="4">
        <f>G26*B9</f>
        <v>1467.18</v>
      </c>
      <c r="K26" t="s">
        <v>25</v>
      </c>
      <c r="L26" s="10">
        <v>1E-3</v>
      </c>
      <c r="M26" s="4">
        <f>L26*B12</f>
        <v>0</v>
      </c>
      <c r="O26" t="s">
        <v>32</v>
      </c>
      <c r="P26" s="13">
        <v>1.5E-3</v>
      </c>
      <c r="Q26" s="4">
        <f>P26*B12</f>
        <v>0</v>
      </c>
    </row>
    <row r="27" spans="1:17" x14ac:dyDescent="0.45">
      <c r="F27" s="2" t="s">
        <v>17</v>
      </c>
      <c r="G27" s="10">
        <v>0</v>
      </c>
      <c r="H27" s="4">
        <f>G27*B17</f>
        <v>0</v>
      </c>
      <c r="K27" t="s">
        <v>26</v>
      </c>
      <c r="L27" s="10">
        <v>6.0000000000000001E-3</v>
      </c>
      <c r="M27" s="4">
        <f>L27*B8</f>
        <v>111.3</v>
      </c>
      <c r="O27" t="s">
        <v>26</v>
      </c>
      <c r="P27" s="13">
        <v>1.1299999999999999E-2</v>
      </c>
      <c r="Q27" s="4">
        <f>P27*B8</f>
        <v>209.61499999999998</v>
      </c>
    </row>
    <row r="28" spans="1:17" x14ac:dyDescent="0.45">
      <c r="G28" s="10">
        <f>SUM(G20:G26)</f>
        <v>1</v>
      </c>
      <c r="H28" s="9">
        <f>SUM(H20:H26)</f>
        <v>62517.605000000003</v>
      </c>
      <c r="K28" t="s">
        <v>27</v>
      </c>
      <c r="L28" s="10">
        <v>0.01</v>
      </c>
      <c r="M28" s="4">
        <f>L28*B11</f>
        <v>250</v>
      </c>
      <c r="O28" t="s">
        <v>27</v>
      </c>
      <c r="P28" s="13">
        <v>1.4999999999999999E-2</v>
      </c>
      <c r="Q28" s="4">
        <f>P28*B11</f>
        <v>375</v>
      </c>
    </row>
    <row r="29" spans="1:17" x14ac:dyDescent="0.45">
      <c r="K29" t="s">
        <v>33</v>
      </c>
      <c r="L29" s="10">
        <v>0</v>
      </c>
      <c r="M29" s="4">
        <f>L29*B17</f>
        <v>0</v>
      </c>
      <c r="O29" t="s">
        <v>33</v>
      </c>
      <c r="P29" s="13">
        <v>0</v>
      </c>
      <c r="Q29" s="4">
        <f>P29*B17</f>
        <v>0</v>
      </c>
    </row>
    <row r="30" spans="1:17" x14ac:dyDescent="0.45">
      <c r="L30" s="10">
        <f>SUM(L20:L28)</f>
        <v>1</v>
      </c>
      <c r="M30" s="11">
        <f>SUM(M20:M28)</f>
        <v>62880.347999999998</v>
      </c>
      <c r="P30" s="13">
        <f>SUM(P20:P28)</f>
        <v>1.0014999999999998</v>
      </c>
      <c r="Q30" s="11">
        <f>SUM(Q20:Q28)</f>
        <v>70307.752000000008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47"/>
  <sheetViews>
    <sheetView tabSelected="1" zoomScaleNormal="100" workbookViewId="0">
      <pane xSplit="1" ySplit="3" topLeftCell="M4" activePane="bottomRight" state="frozen"/>
      <selection pane="topRight" activeCell="B1" sqref="B1"/>
      <selection pane="bottomLeft" activeCell="A4" sqref="A4"/>
      <selection pane="bottomRight" activeCell="S6" sqref="S6"/>
    </sheetView>
  </sheetViews>
  <sheetFormatPr baseColWidth="10" defaultRowHeight="14.25" x14ac:dyDescent="0.45"/>
  <cols>
    <col min="1" max="1" width="24.59765625" customWidth="1"/>
    <col min="2" max="2" width="16.86328125" customWidth="1"/>
    <col min="3" max="3" width="10.86328125" customWidth="1"/>
    <col min="4" max="4" width="11.3984375" customWidth="1"/>
    <col min="5" max="5" width="14" customWidth="1"/>
    <col min="6" max="6" width="15.73046875" customWidth="1"/>
    <col min="9" max="9" width="15.265625" customWidth="1"/>
    <col min="12" max="12" width="15.73046875" customWidth="1"/>
    <col min="14" max="14" width="14.1328125" bestFit="1" customWidth="1"/>
    <col min="15" max="15" width="13" bestFit="1" customWidth="1"/>
    <col min="18" max="18" width="16.73046875" customWidth="1"/>
    <col min="20" max="20" width="16" customWidth="1"/>
    <col min="21" max="21" width="15.265625" customWidth="1"/>
    <col min="22" max="22" width="16.73046875" customWidth="1"/>
    <col min="23" max="23" width="13.86328125" bestFit="1" customWidth="1"/>
    <col min="24" max="24" width="16.265625" customWidth="1"/>
    <col min="26" max="26" width="14.265625" customWidth="1"/>
    <col min="31" max="31" width="16.59765625" customWidth="1"/>
    <col min="32" max="32" width="19" customWidth="1"/>
    <col min="33" max="33" width="17" customWidth="1"/>
    <col min="35" max="35" width="15.59765625" customWidth="1"/>
  </cols>
  <sheetData>
    <row r="2" spans="1:31" x14ac:dyDescent="0.45">
      <c r="A2" s="65" t="s">
        <v>11</v>
      </c>
      <c r="B2" s="65" t="s">
        <v>28</v>
      </c>
      <c r="C2" s="65" t="s">
        <v>36</v>
      </c>
      <c r="D2" s="73" t="s">
        <v>12</v>
      </c>
      <c r="E2" s="73"/>
      <c r="F2" s="73"/>
      <c r="G2" s="74" t="s">
        <v>52</v>
      </c>
      <c r="H2" s="74"/>
      <c r="I2" s="74"/>
      <c r="J2" s="66" t="s">
        <v>49</v>
      </c>
      <c r="K2" s="66"/>
      <c r="L2" s="66"/>
      <c r="M2" s="67" t="s">
        <v>40</v>
      </c>
      <c r="N2" s="67"/>
      <c r="O2" s="67"/>
      <c r="P2" s="72" t="s">
        <v>41</v>
      </c>
      <c r="Q2" s="72"/>
      <c r="R2" s="72"/>
      <c r="S2" s="68" t="s">
        <v>42</v>
      </c>
      <c r="T2" s="68"/>
      <c r="U2" s="68"/>
      <c r="V2" s="69" t="s">
        <v>43</v>
      </c>
      <c r="W2" s="69"/>
      <c r="X2" s="69"/>
      <c r="Y2" s="71" t="s">
        <v>44</v>
      </c>
      <c r="Z2" s="71"/>
      <c r="AA2" s="71"/>
      <c r="AB2" s="70" t="s">
        <v>46</v>
      </c>
      <c r="AC2" s="70"/>
      <c r="AD2" s="70"/>
      <c r="AE2" s="55"/>
    </row>
    <row r="3" spans="1:31" x14ac:dyDescent="0.45">
      <c r="A3" s="15" t="s">
        <v>37</v>
      </c>
      <c r="B3" s="15" t="s">
        <v>28</v>
      </c>
      <c r="C3" s="15" t="s">
        <v>36</v>
      </c>
      <c r="D3" s="16" t="s">
        <v>38</v>
      </c>
      <c r="E3" s="16" t="s">
        <v>36</v>
      </c>
      <c r="F3" s="16" t="s">
        <v>39</v>
      </c>
      <c r="G3" s="19" t="s">
        <v>38</v>
      </c>
      <c r="H3" s="19" t="s">
        <v>36</v>
      </c>
      <c r="I3" s="19" t="s">
        <v>39</v>
      </c>
      <c r="J3" s="22" t="s">
        <v>38</v>
      </c>
      <c r="K3" s="22" t="s">
        <v>36</v>
      </c>
      <c r="L3" s="22" t="s">
        <v>39</v>
      </c>
      <c r="M3" s="25" t="s">
        <v>38</v>
      </c>
      <c r="N3" s="25" t="s">
        <v>36</v>
      </c>
      <c r="O3" s="25" t="s">
        <v>39</v>
      </c>
      <c r="P3" s="27" t="s">
        <v>38</v>
      </c>
      <c r="Q3" s="27" t="s">
        <v>36</v>
      </c>
      <c r="R3" s="27" t="s">
        <v>39</v>
      </c>
      <c r="S3" s="29" t="s">
        <v>38</v>
      </c>
      <c r="T3" s="29" t="s">
        <v>36</v>
      </c>
      <c r="U3" s="29" t="s">
        <v>39</v>
      </c>
      <c r="V3" s="32" t="s">
        <v>38</v>
      </c>
      <c r="W3" s="32" t="s">
        <v>36</v>
      </c>
      <c r="X3" s="32" t="s">
        <v>39</v>
      </c>
      <c r="Y3" s="34" t="s">
        <v>38</v>
      </c>
      <c r="Z3" s="34" t="s">
        <v>36</v>
      </c>
      <c r="AA3" s="34" t="s">
        <v>39</v>
      </c>
      <c r="AB3" s="55"/>
      <c r="AC3" s="55"/>
      <c r="AD3" s="55"/>
      <c r="AE3" s="55"/>
    </row>
    <row r="4" spans="1:31" x14ac:dyDescent="0.45">
      <c r="A4" t="s">
        <v>14</v>
      </c>
      <c r="B4" s="4">
        <f>257*1515+34000</f>
        <v>423355</v>
      </c>
      <c r="C4" s="14">
        <v>49</v>
      </c>
      <c r="D4" s="17">
        <v>0</v>
      </c>
      <c r="E4" s="17">
        <f>+D4*C4/1000</f>
        <v>0</v>
      </c>
      <c r="F4" s="18">
        <f t="shared" ref="F4:F16" si="0">+D4*B4/$D$18</f>
        <v>0</v>
      </c>
      <c r="G4" s="20">
        <v>115</v>
      </c>
      <c r="H4" s="20">
        <f t="shared" ref="H4:H15" si="1">+G4*C4/1000</f>
        <v>5.6349999999999998</v>
      </c>
      <c r="I4" s="21">
        <f t="shared" ref="I4:I16" si="2">+G4*B4/$G$18</f>
        <v>48661.494252873563</v>
      </c>
      <c r="J4" s="23">
        <v>90</v>
      </c>
      <c r="K4" s="23">
        <f>+J4*C4/1000</f>
        <v>4.41</v>
      </c>
      <c r="L4" s="24">
        <f t="shared" ref="L4:L16" si="3">+J4*B4/$J$18</f>
        <v>36636.490384615383</v>
      </c>
      <c r="M4" s="26">
        <v>72</v>
      </c>
      <c r="N4" s="26">
        <f>+M4*C4/1000</f>
        <v>3.528</v>
      </c>
      <c r="O4" s="26">
        <f t="shared" ref="O4:O16" si="4">+M4*B4/$M$18</f>
        <v>30481.560000000005</v>
      </c>
      <c r="P4" s="28">
        <v>25</v>
      </c>
      <c r="Q4" s="28">
        <f>+P4*C4/1000</f>
        <v>1.2250000000000001</v>
      </c>
      <c r="R4" s="28">
        <f t="shared" ref="R4:R16" si="5">+P4*B4/$P$18</f>
        <v>10679.994954591322</v>
      </c>
      <c r="S4" s="30">
        <v>68</v>
      </c>
      <c r="T4" s="30">
        <f>+S4*C4/1000</f>
        <v>3.3319999999999999</v>
      </c>
      <c r="U4" s="31">
        <f t="shared" ref="U4:U10" si="6">+S4*B4/$S$18</f>
        <v>28808.305814069849</v>
      </c>
      <c r="V4" s="33">
        <v>25</v>
      </c>
      <c r="W4" s="33">
        <f>+V4*C4/1000</f>
        <v>1.2250000000000001</v>
      </c>
      <c r="X4" s="36">
        <f t="shared" ref="X4:X17" si="7">+V4*B4/$V$18</f>
        <v>10583.875</v>
      </c>
      <c r="Y4" s="35">
        <v>100</v>
      </c>
      <c r="Z4" s="35">
        <f>+Y4*C4/1000</f>
        <v>4.9000000000000004</v>
      </c>
      <c r="AA4" s="37">
        <f t="shared" ref="AA4:AA16" si="8">+Y4*B4/$Y$18</f>
        <v>42335.5</v>
      </c>
      <c r="AB4" s="55"/>
      <c r="AC4" s="55">
        <v>220</v>
      </c>
      <c r="AD4" s="55"/>
      <c r="AE4" s="57">
        <f>((AC4*B4)/1000)</f>
        <v>93138.1</v>
      </c>
    </row>
    <row r="5" spans="1:31" x14ac:dyDescent="0.45">
      <c r="A5" t="s">
        <v>47</v>
      </c>
      <c r="B5" s="4">
        <v>362000</v>
      </c>
      <c r="C5" s="14">
        <v>4</v>
      </c>
      <c r="D5" s="17">
        <v>0</v>
      </c>
      <c r="E5" s="17">
        <f t="shared" ref="E5:E15" si="9">+D5*C5/1000</f>
        <v>0</v>
      </c>
      <c r="F5" s="18">
        <f t="shared" si="0"/>
        <v>0</v>
      </c>
      <c r="G5" s="20"/>
      <c r="H5" s="20">
        <f t="shared" si="1"/>
        <v>0</v>
      </c>
      <c r="I5" s="21">
        <f t="shared" si="2"/>
        <v>0</v>
      </c>
      <c r="J5" s="23">
        <v>0</v>
      </c>
      <c r="K5" s="23">
        <f t="shared" ref="K5:K16" si="10">+J5*C5/1000</f>
        <v>0</v>
      </c>
      <c r="L5" s="24">
        <f t="shared" si="3"/>
        <v>0</v>
      </c>
      <c r="M5" s="26">
        <v>0</v>
      </c>
      <c r="N5" s="26">
        <f t="shared" ref="N5:N16" si="11">+M5*C5/1000</f>
        <v>0</v>
      </c>
      <c r="O5" s="26">
        <f t="shared" si="4"/>
        <v>0</v>
      </c>
      <c r="P5" s="28"/>
      <c r="Q5" s="28">
        <f t="shared" ref="Q5:Q16" si="12">+P5*C5/1000</f>
        <v>0</v>
      </c>
      <c r="R5" s="28">
        <f t="shared" si="5"/>
        <v>0</v>
      </c>
      <c r="S5" s="30">
        <v>172</v>
      </c>
      <c r="T5" s="30">
        <f t="shared" ref="T5:T16" si="13">+S5*C5/1000</f>
        <v>0.68799999999999994</v>
      </c>
      <c r="U5" s="31">
        <f t="shared" si="6"/>
        <v>62307.615330731518</v>
      </c>
      <c r="V5" s="33">
        <v>140</v>
      </c>
      <c r="W5" s="33">
        <f>+V5*C5/1000</f>
        <v>0.56000000000000005</v>
      </c>
      <c r="X5" s="36">
        <f>+V5*B5/$V$18</f>
        <v>50680</v>
      </c>
      <c r="Y5" s="35">
        <v>200</v>
      </c>
      <c r="Z5" s="35">
        <f t="shared" ref="Z5:Z16" si="14">+Y5*C5/1000</f>
        <v>0.8</v>
      </c>
      <c r="AA5" s="37">
        <f t="shared" si="8"/>
        <v>72400</v>
      </c>
      <c r="AB5" s="55"/>
      <c r="AC5" s="55"/>
      <c r="AD5" s="55"/>
      <c r="AE5" s="55"/>
    </row>
    <row r="6" spans="1:31" x14ac:dyDescent="0.45">
      <c r="A6" t="s">
        <v>3</v>
      </c>
      <c r="B6">
        <v>215000</v>
      </c>
      <c r="C6" s="14">
        <v>16</v>
      </c>
      <c r="D6" s="17">
        <v>542</v>
      </c>
      <c r="E6" s="17">
        <f t="shared" si="9"/>
        <v>8.6720000000000006</v>
      </c>
      <c r="F6" s="18">
        <f t="shared" si="0"/>
        <v>116471.76411794103</v>
      </c>
      <c r="G6" s="20">
        <v>0</v>
      </c>
      <c r="H6" s="20">
        <f t="shared" si="1"/>
        <v>0</v>
      </c>
      <c r="I6" s="21">
        <f t="shared" si="2"/>
        <v>0</v>
      </c>
      <c r="J6" s="23">
        <v>275</v>
      </c>
      <c r="K6" s="23">
        <f t="shared" si="10"/>
        <v>4.4000000000000004</v>
      </c>
      <c r="L6" s="24">
        <f t="shared" si="3"/>
        <v>56850.961538461539</v>
      </c>
      <c r="M6" s="26">
        <v>507.8</v>
      </c>
      <c r="N6" s="26">
        <f t="shared" si="11"/>
        <v>8.1248000000000005</v>
      </c>
      <c r="O6" s="26">
        <f t="shared" si="4"/>
        <v>109177.00000000001</v>
      </c>
      <c r="P6" s="28">
        <v>290</v>
      </c>
      <c r="Q6" s="28">
        <f t="shared" si="12"/>
        <v>4.6399999999999997</v>
      </c>
      <c r="R6" s="28">
        <f t="shared" si="5"/>
        <v>62916.246215943494</v>
      </c>
      <c r="S6" s="30">
        <v>362</v>
      </c>
      <c r="T6" s="30">
        <f t="shared" si="13"/>
        <v>5.7919999999999998</v>
      </c>
      <c r="U6" s="31">
        <f t="shared" si="6"/>
        <v>77884.519163414399</v>
      </c>
      <c r="V6" s="33">
        <v>292</v>
      </c>
      <c r="W6" s="33">
        <f t="shared" ref="W6:W16" si="15">+V6*C6/1000</f>
        <v>4.6719999999999997</v>
      </c>
      <c r="X6" s="36">
        <f t="shared" si="7"/>
        <v>62780</v>
      </c>
      <c r="Y6" s="35">
        <v>378.5</v>
      </c>
      <c r="Z6" s="35">
        <f t="shared" si="14"/>
        <v>6.056</v>
      </c>
      <c r="AA6" s="37">
        <f t="shared" si="8"/>
        <v>81377.5</v>
      </c>
      <c r="AB6" s="55"/>
      <c r="AC6" s="55">
        <v>180.5</v>
      </c>
      <c r="AD6" s="55"/>
      <c r="AE6" s="57">
        <f>((AC6*B6)/1000)</f>
        <v>38807.5</v>
      </c>
    </row>
    <row r="7" spans="1:31" x14ac:dyDescent="0.45">
      <c r="A7" t="s">
        <v>4</v>
      </c>
      <c r="B7" s="4">
        <f>79000</f>
        <v>79000</v>
      </c>
      <c r="C7" s="14">
        <v>0</v>
      </c>
      <c r="D7" s="17">
        <v>7.5</v>
      </c>
      <c r="E7" s="17">
        <f t="shared" si="9"/>
        <v>0</v>
      </c>
      <c r="F7" s="18">
        <f t="shared" si="0"/>
        <v>592.20389805097454</v>
      </c>
      <c r="G7" s="20">
        <v>7.5</v>
      </c>
      <c r="H7" s="20">
        <f t="shared" si="1"/>
        <v>0</v>
      </c>
      <c r="I7" s="21">
        <f t="shared" si="2"/>
        <v>592.20389805097454</v>
      </c>
      <c r="J7" s="23">
        <v>7.5</v>
      </c>
      <c r="K7" s="23">
        <f t="shared" si="10"/>
        <v>0</v>
      </c>
      <c r="L7" s="24">
        <f t="shared" si="3"/>
        <v>569.71153846153845</v>
      </c>
      <c r="M7" s="26">
        <v>11.2</v>
      </c>
      <c r="N7" s="26">
        <f t="shared" si="11"/>
        <v>0</v>
      </c>
      <c r="O7" s="26">
        <f t="shared" si="4"/>
        <v>884.80000000000007</v>
      </c>
      <c r="P7" s="28">
        <v>6</v>
      </c>
      <c r="Q7" s="28">
        <v>0</v>
      </c>
      <c r="R7" s="28">
        <f t="shared" si="5"/>
        <v>478.30474268415742</v>
      </c>
      <c r="S7" s="42">
        <v>11.2</v>
      </c>
      <c r="T7" s="30">
        <f t="shared" si="13"/>
        <v>0</v>
      </c>
      <c r="U7" s="31">
        <f t="shared" si="6"/>
        <v>885.41979385569903</v>
      </c>
      <c r="V7" s="33">
        <v>6</v>
      </c>
      <c r="W7" s="33">
        <f t="shared" si="15"/>
        <v>0</v>
      </c>
      <c r="X7" s="36">
        <f t="shared" si="7"/>
        <v>474</v>
      </c>
      <c r="Y7" s="35">
        <v>11</v>
      </c>
      <c r="Z7" s="35">
        <f t="shared" si="14"/>
        <v>0</v>
      </c>
      <c r="AA7" s="37">
        <f t="shared" si="8"/>
        <v>869</v>
      </c>
      <c r="AB7" s="55"/>
      <c r="AC7" s="55">
        <v>11</v>
      </c>
      <c r="AD7" s="55"/>
      <c r="AE7" s="57">
        <f t="shared" ref="AE7" si="16">((AC7*B7)/1000)</f>
        <v>869</v>
      </c>
    </row>
    <row r="8" spans="1:31" x14ac:dyDescent="0.45">
      <c r="A8" t="s">
        <v>53</v>
      </c>
      <c r="B8" s="4">
        <f>2900*1515</f>
        <v>4393500</v>
      </c>
      <c r="C8" s="14">
        <v>0</v>
      </c>
      <c r="D8" s="17">
        <v>2</v>
      </c>
      <c r="E8" s="17">
        <f t="shared" si="9"/>
        <v>0</v>
      </c>
      <c r="F8" s="18">
        <f t="shared" si="0"/>
        <v>8782.608695652174</v>
      </c>
      <c r="G8" s="20">
        <v>1</v>
      </c>
      <c r="H8" s="20">
        <f t="shared" si="1"/>
        <v>0</v>
      </c>
      <c r="I8" s="21">
        <f t="shared" si="2"/>
        <v>4391.304347826087</v>
      </c>
      <c r="J8" s="23">
        <v>2</v>
      </c>
      <c r="K8" s="23">
        <f t="shared" si="10"/>
        <v>0</v>
      </c>
      <c r="L8" s="24">
        <f t="shared" si="3"/>
        <v>8449.038461538461</v>
      </c>
      <c r="M8" s="26">
        <v>2</v>
      </c>
      <c r="N8" s="26">
        <f t="shared" si="11"/>
        <v>0</v>
      </c>
      <c r="O8" s="26">
        <f t="shared" si="4"/>
        <v>8787.0000000000018</v>
      </c>
      <c r="P8" s="28">
        <v>2</v>
      </c>
      <c r="Q8" s="28">
        <f t="shared" si="12"/>
        <v>0</v>
      </c>
      <c r="R8" s="28">
        <f t="shared" si="5"/>
        <v>8866.801210898082</v>
      </c>
      <c r="S8" s="30">
        <v>2</v>
      </c>
      <c r="T8" s="30">
        <f t="shared" si="13"/>
        <v>0</v>
      </c>
      <c r="U8" s="31">
        <f t="shared" si="6"/>
        <v>8793.1552086460524</v>
      </c>
      <c r="V8" s="33">
        <v>2</v>
      </c>
      <c r="W8" s="33">
        <f t="shared" si="15"/>
        <v>0</v>
      </c>
      <c r="X8" s="36">
        <f t="shared" si="7"/>
        <v>8787</v>
      </c>
      <c r="Y8" s="35">
        <v>2</v>
      </c>
      <c r="Z8" s="35">
        <f t="shared" si="14"/>
        <v>0</v>
      </c>
      <c r="AA8" s="37">
        <f t="shared" si="8"/>
        <v>8787</v>
      </c>
      <c r="AB8" s="55"/>
      <c r="AC8" s="55">
        <v>2</v>
      </c>
      <c r="AD8" s="55"/>
      <c r="AE8" s="57">
        <f t="shared" ref="AE8:AE13" si="17">((AC8*B8)/1000)</f>
        <v>8787</v>
      </c>
    </row>
    <row r="9" spans="1:31" x14ac:dyDescent="0.45">
      <c r="A9" t="s">
        <v>7</v>
      </c>
      <c r="B9" s="4">
        <v>272000</v>
      </c>
      <c r="C9" s="14">
        <v>8</v>
      </c>
      <c r="D9" s="17">
        <v>400</v>
      </c>
      <c r="E9" s="17">
        <f t="shared" si="9"/>
        <v>3.2</v>
      </c>
      <c r="F9" s="18">
        <f t="shared" si="0"/>
        <v>108745.6271864068</v>
      </c>
      <c r="G9" s="20">
        <v>200</v>
      </c>
      <c r="H9" s="20">
        <f>+G9*C9/1000</f>
        <v>1.6</v>
      </c>
      <c r="I9" s="21">
        <f t="shared" si="2"/>
        <v>54372.813593203398</v>
      </c>
      <c r="J9" s="23">
        <v>350</v>
      </c>
      <c r="K9" s="23">
        <f t="shared" si="10"/>
        <v>2.8</v>
      </c>
      <c r="L9" s="24">
        <f t="shared" si="3"/>
        <v>91538.461538461532</v>
      </c>
      <c r="M9" s="26">
        <v>202.3</v>
      </c>
      <c r="N9" s="26">
        <f t="shared" si="11"/>
        <v>1.6184000000000001</v>
      </c>
      <c r="O9" s="26">
        <f t="shared" si="4"/>
        <v>55025.600000000006</v>
      </c>
      <c r="P9" s="28">
        <v>400</v>
      </c>
      <c r="Q9" s="28">
        <f t="shared" si="12"/>
        <v>3.2</v>
      </c>
      <c r="R9" s="28">
        <f t="shared" si="5"/>
        <v>109788.09283551968</v>
      </c>
      <c r="S9" s="30">
        <v>202.3</v>
      </c>
      <c r="T9" s="30">
        <f t="shared" si="13"/>
        <v>1.6184000000000001</v>
      </c>
      <c r="U9" s="31">
        <f t="shared" si="6"/>
        <v>55064.144901431006</v>
      </c>
      <c r="V9" s="33">
        <v>515</v>
      </c>
      <c r="W9" s="33">
        <f t="shared" si="15"/>
        <v>4.12</v>
      </c>
      <c r="X9" s="36">
        <f t="shared" si="7"/>
        <v>140080</v>
      </c>
      <c r="Y9" s="35">
        <v>285</v>
      </c>
      <c r="Z9" s="35">
        <f t="shared" si="14"/>
        <v>2.2799999999999998</v>
      </c>
      <c r="AA9" s="37">
        <f t="shared" si="8"/>
        <v>77520</v>
      </c>
      <c r="AB9" s="55"/>
      <c r="AC9" s="55">
        <v>270</v>
      </c>
      <c r="AD9" s="55"/>
      <c r="AE9" s="57">
        <f t="shared" si="17"/>
        <v>73440</v>
      </c>
    </row>
    <row r="10" spans="1:31" x14ac:dyDescent="0.45">
      <c r="A10" t="s">
        <v>8</v>
      </c>
      <c r="B10" s="4">
        <f>118000</f>
        <v>118000</v>
      </c>
      <c r="C10" s="14">
        <v>0</v>
      </c>
      <c r="D10" s="17">
        <v>30</v>
      </c>
      <c r="E10" s="17">
        <f t="shared" si="9"/>
        <v>0</v>
      </c>
      <c r="F10" s="18">
        <f t="shared" si="0"/>
        <v>3538.2308845577213</v>
      </c>
      <c r="G10" s="20">
        <v>30</v>
      </c>
      <c r="H10" s="20">
        <f t="shared" si="1"/>
        <v>0</v>
      </c>
      <c r="I10" s="21">
        <f t="shared" si="2"/>
        <v>3538.2308845577213</v>
      </c>
      <c r="J10" s="23">
        <v>30</v>
      </c>
      <c r="K10" s="23">
        <f t="shared" si="10"/>
        <v>0</v>
      </c>
      <c r="L10" s="24">
        <f t="shared" si="3"/>
        <v>3403.8461538461538</v>
      </c>
      <c r="M10" s="26">
        <v>14.9</v>
      </c>
      <c r="N10" s="26">
        <f t="shared" si="11"/>
        <v>0</v>
      </c>
      <c r="O10" s="26">
        <f t="shared" si="4"/>
        <v>1758.2000000000003</v>
      </c>
      <c r="P10" s="28">
        <v>10</v>
      </c>
      <c r="Q10" s="28">
        <f t="shared" si="12"/>
        <v>0</v>
      </c>
      <c r="R10" s="28">
        <f t="shared" si="5"/>
        <v>1190.7164480322906</v>
      </c>
      <c r="S10" s="30">
        <v>14.9</v>
      </c>
      <c r="T10" s="30">
        <f t="shared" si="13"/>
        <v>0</v>
      </c>
      <c r="U10" s="31">
        <f t="shared" si="6"/>
        <v>1759.4316021214852</v>
      </c>
      <c r="V10" s="33">
        <v>10</v>
      </c>
      <c r="W10" s="33">
        <f t="shared" si="15"/>
        <v>0</v>
      </c>
      <c r="X10" s="36">
        <f t="shared" si="7"/>
        <v>1180</v>
      </c>
      <c r="Y10" s="35">
        <v>15</v>
      </c>
      <c r="Z10" s="35">
        <f t="shared" si="14"/>
        <v>0</v>
      </c>
      <c r="AA10" s="37">
        <f t="shared" si="8"/>
        <v>1770</v>
      </c>
      <c r="AB10" s="55"/>
      <c r="AC10" s="55">
        <v>15</v>
      </c>
      <c r="AD10" s="55"/>
      <c r="AE10" s="57">
        <f t="shared" si="17"/>
        <v>1770</v>
      </c>
    </row>
    <row r="11" spans="1:31" x14ac:dyDescent="0.45">
      <c r="A11" t="s">
        <v>35</v>
      </c>
      <c r="B11" s="4">
        <f>((0.7*1515)*1000)</f>
        <v>1060500</v>
      </c>
      <c r="C11" s="14">
        <v>0</v>
      </c>
      <c r="D11" s="17">
        <v>4</v>
      </c>
      <c r="E11" s="17">
        <f t="shared" si="9"/>
        <v>0</v>
      </c>
      <c r="F11" s="18">
        <f t="shared" si="0"/>
        <v>4239.8800599700153</v>
      </c>
      <c r="G11" s="20">
        <v>4</v>
      </c>
      <c r="H11" s="20">
        <f t="shared" si="1"/>
        <v>0</v>
      </c>
      <c r="I11" s="21">
        <f t="shared" si="2"/>
        <v>4239.8800599700153</v>
      </c>
      <c r="J11" s="23">
        <v>4</v>
      </c>
      <c r="K11" s="23">
        <f t="shared" si="10"/>
        <v>0</v>
      </c>
      <c r="L11" s="24">
        <f t="shared" si="3"/>
        <v>4078.8461538461538</v>
      </c>
      <c r="M11" s="26"/>
      <c r="N11" s="26">
        <f t="shared" si="11"/>
        <v>0</v>
      </c>
      <c r="O11" s="26">
        <f t="shared" si="4"/>
        <v>0</v>
      </c>
      <c r="P11" s="28">
        <v>1</v>
      </c>
      <c r="Q11" s="28">
        <f t="shared" si="12"/>
        <v>0</v>
      </c>
      <c r="R11" s="28">
        <f t="shared" si="5"/>
        <v>1070.1311806256306</v>
      </c>
      <c r="S11" s="30"/>
      <c r="T11" s="30">
        <f t="shared" si="13"/>
        <v>0</v>
      </c>
      <c r="U11" s="31">
        <v>0</v>
      </c>
      <c r="V11" s="33">
        <v>1</v>
      </c>
      <c r="W11" s="33">
        <f t="shared" si="15"/>
        <v>0</v>
      </c>
      <c r="X11" s="36">
        <f t="shared" si="7"/>
        <v>1060.5</v>
      </c>
      <c r="Y11" s="35"/>
      <c r="Z11" s="35">
        <f t="shared" si="14"/>
        <v>0</v>
      </c>
      <c r="AA11" s="37">
        <f t="shared" si="8"/>
        <v>0</v>
      </c>
      <c r="AB11" s="55"/>
      <c r="AC11" s="55"/>
      <c r="AD11" s="55"/>
      <c r="AE11" s="57">
        <f t="shared" si="17"/>
        <v>0</v>
      </c>
    </row>
    <row r="12" spans="1:31" x14ac:dyDescent="0.45">
      <c r="A12" t="s">
        <v>9</v>
      </c>
      <c r="B12" s="4">
        <f>555*1450</f>
        <v>804750</v>
      </c>
      <c r="C12" s="14">
        <v>281</v>
      </c>
      <c r="D12" s="17">
        <v>15</v>
      </c>
      <c r="E12" s="17">
        <f t="shared" si="9"/>
        <v>4.2149999999999999</v>
      </c>
      <c r="F12" s="18">
        <f t="shared" si="0"/>
        <v>12065.217391304348</v>
      </c>
      <c r="G12" s="20">
        <v>15</v>
      </c>
      <c r="H12" s="20">
        <f t="shared" si="1"/>
        <v>4.2149999999999999</v>
      </c>
      <c r="I12" s="21">
        <f t="shared" si="2"/>
        <v>12065.217391304348</v>
      </c>
      <c r="J12" s="23">
        <v>11.5</v>
      </c>
      <c r="K12" s="23">
        <f t="shared" si="10"/>
        <v>3.2315</v>
      </c>
      <c r="L12" s="24">
        <f t="shared" si="3"/>
        <v>8898.6778846153848</v>
      </c>
      <c r="M12" s="26">
        <v>6.9</v>
      </c>
      <c r="N12" s="26">
        <f t="shared" si="11"/>
        <v>1.9389000000000001</v>
      </c>
      <c r="O12" s="26">
        <f t="shared" si="4"/>
        <v>5552.7750000000005</v>
      </c>
      <c r="P12" s="28">
        <v>0</v>
      </c>
      <c r="Q12" s="28">
        <f t="shared" si="12"/>
        <v>0</v>
      </c>
      <c r="R12" s="28">
        <f t="shared" si="5"/>
        <v>0</v>
      </c>
      <c r="S12" s="30">
        <v>6.9</v>
      </c>
      <c r="T12" s="30">
        <f t="shared" si="13"/>
        <v>1.9389000000000001</v>
      </c>
      <c r="U12" s="31">
        <f>+S12*B12/$S$18</f>
        <v>5556.6646652656864</v>
      </c>
      <c r="V12" s="33">
        <v>9</v>
      </c>
      <c r="W12" s="33">
        <f t="shared" si="15"/>
        <v>2.5289999999999999</v>
      </c>
      <c r="X12" s="36">
        <f t="shared" si="7"/>
        <v>7242.75</v>
      </c>
      <c r="Y12" s="35">
        <v>7</v>
      </c>
      <c r="Z12" s="35">
        <f t="shared" si="14"/>
        <v>1.9670000000000001</v>
      </c>
      <c r="AA12" s="37">
        <f t="shared" si="8"/>
        <v>5633.25</v>
      </c>
      <c r="AB12" s="55"/>
      <c r="AC12" s="55"/>
      <c r="AD12" s="55"/>
      <c r="AE12" s="57">
        <f t="shared" si="17"/>
        <v>0</v>
      </c>
    </row>
    <row r="13" spans="1:31" x14ac:dyDescent="0.45">
      <c r="A13" t="s">
        <v>50</v>
      </c>
      <c r="B13" s="4"/>
      <c r="C13" s="14">
        <v>0</v>
      </c>
      <c r="D13" s="17"/>
      <c r="E13" s="17">
        <f t="shared" si="9"/>
        <v>0</v>
      </c>
      <c r="F13" s="18">
        <f t="shared" si="0"/>
        <v>0</v>
      </c>
      <c r="G13" s="20"/>
      <c r="H13" s="20">
        <f t="shared" si="1"/>
        <v>0</v>
      </c>
      <c r="I13" s="21">
        <f t="shared" si="2"/>
        <v>0</v>
      </c>
      <c r="J13" s="23"/>
      <c r="K13" s="23">
        <f t="shared" si="10"/>
        <v>0</v>
      </c>
      <c r="L13" s="24">
        <f t="shared" si="3"/>
        <v>0</v>
      </c>
      <c r="M13" s="26"/>
      <c r="N13" s="26">
        <f t="shared" si="11"/>
        <v>0</v>
      </c>
      <c r="O13" s="26">
        <f t="shared" si="4"/>
        <v>0</v>
      </c>
      <c r="P13" s="28"/>
      <c r="Q13" s="28">
        <f t="shared" si="12"/>
        <v>0</v>
      </c>
      <c r="R13" s="28">
        <f t="shared" si="5"/>
        <v>0</v>
      </c>
      <c r="S13" s="30"/>
      <c r="T13" s="30">
        <f t="shared" si="13"/>
        <v>0</v>
      </c>
      <c r="U13" s="31">
        <f>+S13*B13/$S$18</f>
        <v>0</v>
      </c>
      <c r="V13" s="33">
        <v>0</v>
      </c>
      <c r="W13" s="33">
        <f t="shared" si="15"/>
        <v>0</v>
      </c>
      <c r="X13" s="36">
        <f t="shared" si="7"/>
        <v>0</v>
      </c>
      <c r="Y13" s="35">
        <v>1.5</v>
      </c>
      <c r="Z13" s="35">
        <f t="shared" si="14"/>
        <v>0</v>
      </c>
      <c r="AA13" s="37">
        <f t="shared" si="8"/>
        <v>0</v>
      </c>
      <c r="AB13" s="55"/>
      <c r="AC13" s="55">
        <v>1.5</v>
      </c>
      <c r="AD13" s="55"/>
      <c r="AE13" s="57">
        <f t="shared" si="17"/>
        <v>0</v>
      </c>
    </row>
    <row r="14" spans="1:31" x14ac:dyDescent="0.45">
      <c r="A14" t="s">
        <v>48</v>
      </c>
      <c r="B14" s="4"/>
      <c r="C14" s="14">
        <v>11</v>
      </c>
      <c r="D14" s="17"/>
      <c r="E14" s="17">
        <f t="shared" si="9"/>
        <v>0</v>
      </c>
      <c r="F14" s="18">
        <f t="shared" si="0"/>
        <v>0</v>
      </c>
      <c r="G14" s="20">
        <v>608</v>
      </c>
      <c r="H14" s="20">
        <f t="shared" si="1"/>
        <v>6.6879999999999997</v>
      </c>
      <c r="I14" s="21">
        <f t="shared" si="2"/>
        <v>0</v>
      </c>
      <c r="J14" s="23">
        <v>250</v>
      </c>
      <c r="K14" s="23">
        <f t="shared" si="10"/>
        <v>2.75</v>
      </c>
      <c r="L14" s="24">
        <f t="shared" si="3"/>
        <v>0</v>
      </c>
      <c r="M14" s="26">
        <v>162.9</v>
      </c>
      <c r="N14" s="26">
        <f t="shared" si="11"/>
        <v>1.7919</v>
      </c>
      <c r="O14" s="26">
        <f t="shared" si="4"/>
        <v>0</v>
      </c>
      <c r="P14" s="28">
        <v>254</v>
      </c>
      <c r="Q14" s="28">
        <f t="shared" si="12"/>
        <v>2.794</v>
      </c>
      <c r="R14" s="28">
        <f t="shared" si="5"/>
        <v>0</v>
      </c>
      <c r="S14" s="30">
        <v>150</v>
      </c>
      <c r="T14" s="30">
        <f t="shared" si="13"/>
        <v>1.65</v>
      </c>
      <c r="U14" s="31">
        <f>+S14*B14/$S$18</f>
        <v>0</v>
      </c>
      <c r="V14" s="33">
        <v>0</v>
      </c>
      <c r="W14" s="33">
        <f>+V14*C14/1000</f>
        <v>0</v>
      </c>
      <c r="X14" s="36">
        <f>+V14*B14/$V$18</f>
        <v>0</v>
      </c>
      <c r="Y14" s="35"/>
      <c r="Z14" s="35">
        <f t="shared" si="14"/>
        <v>0</v>
      </c>
      <c r="AA14" s="37">
        <f t="shared" si="8"/>
        <v>0</v>
      </c>
      <c r="AB14" s="55"/>
      <c r="AC14" s="55"/>
      <c r="AD14" s="55"/>
      <c r="AE14" s="57">
        <f t="shared" ref="AE14:AE17" si="18">((AC14*B14)/1000)</f>
        <v>0</v>
      </c>
    </row>
    <row r="15" spans="1:31" x14ac:dyDescent="0.45">
      <c r="A15" t="s">
        <v>51</v>
      </c>
      <c r="B15" s="4"/>
      <c r="C15" s="14">
        <v>0</v>
      </c>
      <c r="D15" s="17"/>
      <c r="E15" s="17">
        <f t="shared" si="9"/>
        <v>0</v>
      </c>
      <c r="F15" s="18">
        <f t="shared" si="0"/>
        <v>0</v>
      </c>
      <c r="G15" s="20">
        <v>0</v>
      </c>
      <c r="H15" s="20">
        <f t="shared" si="1"/>
        <v>0</v>
      </c>
      <c r="I15" s="21">
        <f t="shared" si="2"/>
        <v>0</v>
      </c>
      <c r="J15" s="23"/>
      <c r="K15" s="23">
        <f t="shared" si="10"/>
        <v>0</v>
      </c>
      <c r="L15" s="24">
        <f t="shared" si="3"/>
        <v>0</v>
      </c>
      <c r="M15" s="26">
        <v>0</v>
      </c>
      <c r="N15" s="26">
        <f t="shared" si="11"/>
        <v>0</v>
      </c>
      <c r="O15" s="26">
        <f t="shared" si="4"/>
        <v>0</v>
      </c>
      <c r="P15" s="28">
        <v>3</v>
      </c>
      <c r="Q15" s="28">
        <f t="shared" si="12"/>
        <v>0</v>
      </c>
      <c r="R15" s="28">
        <f t="shared" si="5"/>
        <v>0</v>
      </c>
      <c r="S15" s="30"/>
      <c r="T15" s="30">
        <f t="shared" si="13"/>
        <v>0</v>
      </c>
      <c r="U15" s="31">
        <f>+S15*B15/$S$18</f>
        <v>0</v>
      </c>
      <c r="V15" s="33">
        <v>0</v>
      </c>
      <c r="W15" s="33">
        <f t="shared" si="15"/>
        <v>0</v>
      </c>
      <c r="X15" s="36">
        <f t="shared" si="7"/>
        <v>0</v>
      </c>
      <c r="Y15" s="35"/>
      <c r="Z15" s="35">
        <f t="shared" si="14"/>
        <v>0</v>
      </c>
      <c r="AA15" s="37">
        <f t="shared" si="8"/>
        <v>0</v>
      </c>
      <c r="AB15" s="55"/>
      <c r="AC15" s="55"/>
      <c r="AD15" s="55"/>
      <c r="AE15" s="57">
        <f t="shared" si="18"/>
        <v>0</v>
      </c>
    </row>
    <row r="16" spans="1:31" x14ac:dyDescent="0.45">
      <c r="A16" t="s">
        <v>34</v>
      </c>
      <c r="B16" s="4"/>
      <c r="C16" s="14">
        <v>0</v>
      </c>
      <c r="D16" s="17">
        <v>0</v>
      </c>
      <c r="E16" s="17">
        <f>+D16*C16/1000</f>
        <v>0</v>
      </c>
      <c r="F16" s="18">
        <f t="shared" si="0"/>
        <v>0</v>
      </c>
      <c r="G16" s="20">
        <v>20</v>
      </c>
      <c r="H16" s="20">
        <f>+G16*C16/1000</f>
        <v>0</v>
      </c>
      <c r="I16" s="21">
        <f t="shared" si="2"/>
        <v>0</v>
      </c>
      <c r="J16" s="23">
        <v>20</v>
      </c>
      <c r="K16" s="23">
        <f t="shared" si="10"/>
        <v>0</v>
      </c>
      <c r="L16" s="24">
        <f t="shared" si="3"/>
        <v>0</v>
      </c>
      <c r="M16" s="26">
        <v>20</v>
      </c>
      <c r="N16" s="26">
        <f t="shared" si="11"/>
        <v>0</v>
      </c>
      <c r="O16" s="26">
        <f t="shared" si="4"/>
        <v>0</v>
      </c>
      <c r="P16" s="28">
        <v>0</v>
      </c>
      <c r="Q16" s="28">
        <f t="shared" si="12"/>
        <v>0</v>
      </c>
      <c r="R16" s="28">
        <f t="shared" si="5"/>
        <v>0</v>
      </c>
      <c r="S16" s="30">
        <v>10</v>
      </c>
      <c r="T16" s="30">
        <f t="shared" si="13"/>
        <v>0</v>
      </c>
      <c r="U16" s="31">
        <f>+S16*B16/$S$18</f>
        <v>0</v>
      </c>
      <c r="V16" s="33">
        <v>0</v>
      </c>
      <c r="W16" s="33">
        <f t="shared" si="15"/>
        <v>0</v>
      </c>
      <c r="X16" s="36">
        <f t="shared" si="7"/>
        <v>0</v>
      </c>
      <c r="Y16" s="35"/>
      <c r="Z16" s="35">
        <f t="shared" si="14"/>
        <v>0</v>
      </c>
      <c r="AA16" s="37">
        <f t="shared" si="8"/>
        <v>0</v>
      </c>
      <c r="AB16" s="55"/>
      <c r="AC16" s="55"/>
      <c r="AD16" s="55"/>
      <c r="AE16" s="57">
        <f t="shared" si="18"/>
        <v>0</v>
      </c>
    </row>
    <row r="17" spans="1:35" x14ac:dyDescent="0.45">
      <c r="A17" t="s">
        <v>45</v>
      </c>
      <c r="C17" s="14"/>
      <c r="D17" s="58"/>
      <c r="E17" s="58"/>
      <c r="F17" s="58"/>
      <c r="G17" s="64"/>
      <c r="H17" s="64"/>
      <c r="I17" s="64"/>
      <c r="J17" s="59"/>
      <c r="K17" s="59"/>
      <c r="L17" s="59"/>
      <c r="M17" s="60"/>
      <c r="N17" s="60"/>
      <c r="O17" s="60"/>
      <c r="P17" s="61"/>
      <c r="Q17" s="61"/>
      <c r="R17" s="61"/>
      <c r="S17" s="62"/>
      <c r="T17" s="62"/>
      <c r="U17" s="62"/>
      <c r="V17" s="33">
        <v>0</v>
      </c>
      <c r="W17" s="63"/>
      <c r="X17" s="63">
        <f t="shared" si="7"/>
        <v>0</v>
      </c>
      <c r="Y17" s="56"/>
      <c r="Z17" s="56"/>
      <c r="AA17" s="56"/>
      <c r="AB17" s="55"/>
      <c r="AC17" s="55">
        <v>300</v>
      </c>
      <c r="AD17" s="55"/>
      <c r="AE17" s="57">
        <f t="shared" si="18"/>
        <v>0</v>
      </c>
    </row>
    <row r="18" spans="1:35" x14ac:dyDescent="0.45">
      <c r="D18" s="17">
        <f t="shared" ref="D18:AA18" si="19">SUM(D4:D16)</f>
        <v>1000.5</v>
      </c>
      <c r="E18" s="17">
        <f t="shared" si="19"/>
        <v>16.087</v>
      </c>
      <c r="F18" s="17">
        <f t="shared" si="19"/>
        <v>254435.53223388307</v>
      </c>
      <c r="G18" s="20">
        <f t="shared" si="19"/>
        <v>1000.5</v>
      </c>
      <c r="H18" s="20">
        <f t="shared" si="19"/>
        <v>18.137999999999998</v>
      </c>
      <c r="I18" s="20">
        <f t="shared" si="19"/>
        <v>127861.14442778612</v>
      </c>
      <c r="J18" s="23">
        <f>SUM(J4:J17)</f>
        <v>1040</v>
      </c>
      <c r="K18" s="23">
        <f t="shared" si="19"/>
        <v>17.5915</v>
      </c>
      <c r="L18" s="23">
        <f t="shared" si="19"/>
        <v>210426.03365384613</v>
      </c>
      <c r="M18" s="26">
        <f t="shared" si="19"/>
        <v>999.99999999999989</v>
      </c>
      <c r="N18" s="26">
        <f t="shared" si="19"/>
        <v>17.002000000000002</v>
      </c>
      <c r="O18" s="26">
        <f t="shared" si="19"/>
        <v>211666.93500000003</v>
      </c>
      <c r="P18" s="28">
        <f t="shared" si="19"/>
        <v>991</v>
      </c>
      <c r="Q18" s="28">
        <f t="shared" si="19"/>
        <v>11.859000000000002</v>
      </c>
      <c r="R18" s="28">
        <f t="shared" si="19"/>
        <v>194990.28758829465</v>
      </c>
      <c r="S18" s="30">
        <f t="shared" si="19"/>
        <v>999.3</v>
      </c>
      <c r="T18" s="30">
        <f t="shared" si="19"/>
        <v>15.019299999999999</v>
      </c>
      <c r="U18" s="30">
        <f t="shared" si="19"/>
        <v>241059.25647953566</v>
      </c>
      <c r="V18" s="33">
        <f>SUM(V4:V17)</f>
        <v>1000</v>
      </c>
      <c r="W18" s="33">
        <f t="shared" si="19"/>
        <v>13.106</v>
      </c>
      <c r="X18" s="33">
        <f>SUM(X4:X17)</f>
        <v>282868.125</v>
      </c>
      <c r="Y18" s="38">
        <f t="shared" si="19"/>
        <v>1000</v>
      </c>
      <c r="Z18" s="35">
        <f t="shared" si="19"/>
        <v>16.003</v>
      </c>
      <c r="AA18" s="35">
        <f t="shared" si="19"/>
        <v>290692.25</v>
      </c>
      <c r="AB18" s="55"/>
      <c r="AC18" s="55">
        <f>SUM(AC4:AC17)</f>
        <v>1000</v>
      </c>
      <c r="AD18" s="55"/>
      <c r="AE18" s="57">
        <f>SUM(AE4:AE17)</f>
        <v>216811.6</v>
      </c>
      <c r="AG18" s="4">
        <f>AE18/1000</f>
        <v>216.8116</v>
      </c>
      <c r="AI18" s="4">
        <f>AG18*1.35</f>
        <v>292.69566000000003</v>
      </c>
    </row>
    <row r="19" spans="1:35" x14ac:dyDescent="0.45">
      <c r="S19" s="2"/>
      <c r="T19" s="39"/>
      <c r="U19" s="39">
        <f>U18*1.3</f>
        <v>313377.03342339635</v>
      </c>
      <c r="V19" s="40"/>
      <c r="W19" s="40"/>
      <c r="Z19" s="13"/>
    </row>
    <row r="20" spans="1:35" x14ac:dyDescent="0.45">
      <c r="C20" s="54"/>
      <c r="I20">
        <f>1.25*I18</f>
        <v>159826.43053473264</v>
      </c>
      <c r="S20" s="39"/>
      <c r="T20" s="39"/>
      <c r="U20" s="39"/>
      <c r="V20" s="40"/>
      <c r="W20" s="40"/>
      <c r="X20" s="4"/>
      <c r="Z20" s="13"/>
      <c r="AF20" s="4"/>
    </row>
    <row r="21" spans="1:35" x14ac:dyDescent="0.45">
      <c r="B21" s="4"/>
      <c r="Q21">
        <f>R18*1.3</f>
        <v>253487.37386478306</v>
      </c>
      <c r="S21" s="2"/>
      <c r="T21" s="39"/>
      <c r="U21" s="39"/>
      <c r="V21" s="40"/>
      <c r="W21" s="40"/>
      <c r="X21" s="4"/>
      <c r="Z21" s="13"/>
      <c r="AF21" s="4"/>
    </row>
    <row r="22" spans="1:35" x14ac:dyDescent="0.45">
      <c r="B22">
        <f>225*1275</f>
        <v>286875</v>
      </c>
      <c r="D22" s="27" t="s">
        <v>38</v>
      </c>
      <c r="E22" s="27" t="s">
        <v>36</v>
      </c>
      <c r="F22" s="27" t="s">
        <v>39</v>
      </c>
      <c r="S22" s="2"/>
      <c r="T22" s="39"/>
      <c r="U22" s="41"/>
      <c r="V22" s="40"/>
      <c r="W22" s="40"/>
      <c r="X22" s="4"/>
      <c r="Z22" s="44"/>
    </row>
    <row r="23" spans="1:35" x14ac:dyDescent="0.45">
      <c r="B23">
        <f>B22+25000</f>
        <v>311875</v>
      </c>
      <c r="D23" s="28">
        <v>45</v>
      </c>
      <c r="E23" s="28">
        <f t="shared" ref="E23:E35" si="20">+D23*C4/1000</f>
        <v>2.2050000000000001</v>
      </c>
      <c r="F23" s="53">
        <f t="shared" ref="F23:F35" si="21">+D23*B4/$P$18</f>
        <v>19223.990918264379</v>
      </c>
      <c r="S23" s="2"/>
      <c r="T23" s="39"/>
      <c r="U23" s="39"/>
      <c r="V23" s="40"/>
      <c r="W23" s="40"/>
      <c r="X23" s="4"/>
      <c r="Z23" s="44"/>
    </row>
    <row r="24" spans="1:35" x14ac:dyDescent="0.45">
      <c r="D24" s="28"/>
      <c r="E24" s="28">
        <f t="shared" si="20"/>
        <v>0</v>
      </c>
      <c r="F24" s="53">
        <f t="shared" si="21"/>
        <v>0</v>
      </c>
      <c r="S24" s="45"/>
      <c r="U24" s="50"/>
      <c r="V24" s="40"/>
      <c r="W24" s="45"/>
      <c r="Y24" s="50"/>
      <c r="Z24" s="44"/>
    </row>
    <row r="25" spans="1:35" x14ac:dyDescent="0.45">
      <c r="D25" s="28">
        <v>370</v>
      </c>
      <c r="E25" s="28">
        <f t="shared" si="20"/>
        <v>5.92</v>
      </c>
      <c r="F25" s="53">
        <f t="shared" si="21"/>
        <v>80272.452068617553</v>
      </c>
      <c r="S25" s="45"/>
      <c r="T25" s="43"/>
      <c r="U25" s="47"/>
      <c r="W25" s="45"/>
      <c r="X25" s="43"/>
      <c r="Y25" s="47"/>
      <c r="Z25" s="44"/>
    </row>
    <row r="26" spans="1:35" x14ac:dyDescent="0.45">
      <c r="D26" s="28">
        <v>6</v>
      </c>
      <c r="E26" s="28">
        <f t="shared" si="20"/>
        <v>0</v>
      </c>
      <c r="F26" s="53">
        <f t="shared" si="21"/>
        <v>478.30474268415742</v>
      </c>
      <c r="J26" s="40"/>
      <c r="S26" s="45"/>
      <c r="T26" s="43"/>
      <c r="U26" s="50"/>
      <c r="V26" s="40"/>
      <c r="W26" s="45"/>
      <c r="X26" s="43"/>
      <c r="Y26" s="50"/>
      <c r="Z26" s="44"/>
    </row>
    <row r="27" spans="1:35" x14ac:dyDescent="0.45">
      <c r="D27" s="28">
        <v>2</v>
      </c>
      <c r="E27" s="28">
        <f t="shared" si="20"/>
        <v>0</v>
      </c>
      <c r="F27" s="53">
        <f t="shared" si="21"/>
        <v>8866.801210898082</v>
      </c>
      <c r="S27" s="46"/>
      <c r="T27" s="43"/>
      <c r="U27" s="50"/>
      <c r="V27" s="40"/>
      <c r="W27" s="46"/>
      <c r="X27" s="43"/>
      <c r="Y27" s="50"/>
      <c r="Z27" s="44"/>
    </row>
    <row r="28" spans="1:35" x14ac:dyDescent="0.45">
      <c r="D28" s="28">
        <v>460</v>
      </c>
      <c r="E28" s="28">
        <f t="shared" si="20"/>
        <v>3.68</v>
      </c>
      <c r="F28" s="53">
        <f t="shared" si="21"/>
        <v>126256.30676084763</v>
      </c>
      <c r="I28" s="40"/>
      <c r="S28" s="46"/>
      <c r="T28" s="43"/>
      <c r="U28" s="47"/>
      <c r="V28" s="40"/>
      <c r="W28" s="46"/>
      <c r="X28" s="43"/>
      <c r="Y28" s="47"/>
      <c r="Z28" s="44"/>
    </row>
    <row r="29" spans="1:35" x14ac:dyDescent="0.45">
      <c r="D29" s="28">
        <v>12</v>
      </c>
      <c r="E29" s="28">
        <f t="shared" si="20"/>
        <v>0</v>
      </c>
      <c r="F29" s="53">
        <f t="shared" si="21"/>
        <v>1428.8597376387488</v>
      </c>
      <c r="S29" s="46"/>
      <c r="T29" s="43"/>
      <c r="U29" s="51"/>
      <c r="V29" s="40"/>
      <c r="W29" s="46"/>
      <c r="X29" s="43"/>
      <c r="Y29" s="51"/>
      <c r="Z29" s="44"/>
      <c r="AE29" s="4"/>
    </row>
    <row r="30" spans="1:35" x14ac:dyDescent="0.45">
      <c r="D30" s="28"/>
      <c r="E30" s="28">
        <f t="shared" si="20"/>
        <v>0</v>
      </c>
      <c r="F30" s="53">
        <f t="shared" si="21"/>
        <v>0</v>
      </c>
      <c r="S30" s="46"/>
      <c r="T30" s="44"/>
      <c r="U30" s="47"/>
      <c r="V30" s="40"/>
      <c r="W30" s="46"/>
      <c r="X30" s="44"/>
      <c r="Y30" s="47"/>
      <c r="Z30" s="40"/>
      <c r="AE30" s="4"/>
      <c r="AF30" s="4"/>
    </row>
    <row r="31" spans="1:35" x14ac:dyDescent="0.45">
      <c r="D31" s="28">
        <v>4</v>
      </c>
      <c r="E31" s="28">
        <f t="shared" si="20"/>
        <v>1.1240000000000001</v>
      </c>
      <c r="F31" s="53">
        <f t="shared" si="21"/>
        <v>3248.2341069626641</v>
      </c>
      <c r="S31" s="46"/>
      <c r="T31" s="44"/>
      <c r="U31" s="47"/>
      <c r="V31" s="40"/>
      <c r="W31" s="46"/>
      <c r="X31" s="44"/>
      <c r="Y31" s="47"/>
      <c r="Z31" s="40"/>
      <c r="AF31" s="4"/>
    </row>
    <row r="32" spans="1:35" x14ac:dyDescent="0.45">
      <c r="D32" s="28"/>
      <c r="E32" s="28">
        <f t="shared" si="20"/>
        <v>0</v>
      </c>
      <c r="F32" s="53">
        <f t="shared" si="21"/>
        <v>0</v>
      </c>
      <c r="S32" s="46"/>
      <c r="T32" s="44"/>
      <c r="U32" s="47"/>
      <c r="V32" s="40"/>
      <c r="W32" s="46"/>
      <c r="X32" s="44"/>
      <c r="Y32" s="47"/>
      <c r="Z32" s="40"/>
      <c r="AA32" s="48"/>
    </row>
    <row r="33" spans="4:32" x14ac:dyDescent="0.45">
      <c r="D33" s="28">
        <v>101</v>
      </c>
      <c r="E33" s="28">
        <f t="shared" si="20"/>
        <v>1.111</v>
      </c>
      <c r="F33" s="53">
        <f t="shared" si="21"/>
        <v>0</v>
      </c>
      <c r="H33" s="48"/>
      <c r="M33" s="48"/>
      <c r="T33" s="40"/>
      <c r="U33" s="52"/>
      <c r="V33" s="4"/>
      <c r="W33" s="48"/>
      <c r="X33" s="40"/>
      <c r="Y33" s="52"/>
      <c r="Z33" s="4"/>
      <c r="AA33" s="48"/>
    </row>
    <row r="34" spans="4:32" x14ac:dyDescent="0.45">
      <c r="D34" s="28">
        <v>0</v>
      </c>
      <c r="E34" s="28">
        <f t="shared" si="20"/>
        <v>0</v>
      </c>
      <c r="F34" s="53">
        <f t="shared" si="21"/>
        <v>0</v>
      </c>
      <c r="H34" s="48"/>
      <c r="M34" s="48"/>
      <c r="W34" s="48"/>
      <c r="Z34" s="40"/>
      <c r="AA34" s="48"/>
    </row>
    <row r="35" spans="4:32" x14ac:dyDescent="0.45">
      <c r="D35" s="28">
        <v>0</v>
      </c>
      <c r="E35" s="28">
        <f t="shared" si="20"/>
        <v>0</v>
      </c>
      <c r="F35" s="53">
        <f t="shared" si="21"/>
        <v>0</v>
      </c>
      <c r="H35" s="48"/>
      <c r="T35" s="4"/>
      <c r="U35" s="47"/>
      <c r="V35" s="4"/>
      <c r="W35" s="48"/>
      <c r="Z35" s="40"/>
    </row>
    <row r="36" spans="4:32" x14ac:dyDescent="0.45">
      <c r="D36" s="28">
        <f>SUM(D23:D35)</f>
        <v>1000</v>
      </c>
      <c r="E36" s="28">
        <f>SUM(E23:E35)</f>
        <v>14.040000000000001</v>
      </c>
      <c r="F36" s="28">
        <f>SUM(F23:F35)</f>
        <v>239774.9495459132</v>
      </c>
      <c r="H36" s="48"/>
      <c r="S36" s="4"/>
      <c r="T36" s="4"/>
      <c r="U36" s="47"/>
      <c r="V36" s="4"/>
      <c r="W36" s="48"/>
      <c r="X36" s="49"/>
    </row>
    <row r="37" spans="4:32" x14ac:dyDescent="0.45">
      <c r="H37" s="48"/>
      <c r="S37" s="2"/>
      <c r="T37" s="39"/>
      <c r="U37" s="39"/>
      <c r="W37" s="48"/>
      <c r="X37" s="49"/>
    </row>
    <row r="38" spans="4:32" x14ac:dyDescent="0.45">
      <c r="H38" s="48"/>
      <c r="N38" s="4"/>
      <c r="S38" s="45"/>
      <c r="U38" s="50"/>
      <c r="V38" s="4"/>
      <c r="W38" s="48"/>
      <c r="X38" s="49"/>
      <c r="Y38" s="50"/>
      <c r="AF38">
        <f>AE38*2</f>
        <v>0</v>
      </c>
    </row>
    <row r="39" spans="4:32" x14ac:dyDescent="0.45">
      <c r="N39" s="4"/>
      <c r="S39" s="45"/>
      <c r="T39" s="43"/>
      <c r="U39" s="47"/>
      <c r="V39" s="4"/>
      <c r="W39" s="48"/>
      <c r="X39" s="49"/>
      <c r="Y39" s="50"/>
      <c r="AF39">
        <f>AF38/20</f>
        <v>0</v>
      </c>
    </row>
    <row r="40" spans="4:32" x14ac:dyDescent="0.45">
      <c r="S40" s="45"/>
      <c r="T40" s="43"/>
      <c r="U40" s="50"/>
      <c r="X40" s="49"/>
      <c r="Y40" s="50"/>
    </row>
    <row r="41" spans="4:32" x14ac:dyDescent="0.45">
      <c r="N41" s="4"/>
      <c r="S41" s="46"/>
      <c r="T41" s="43"/>
      <c r="U41" s="50"/>
      <c r="X41" s="49"/>
      <c r="Y41" s="4"/>
    </row>
    <row r="42" spans="4:32" x14ac:dyDescent="0.45">
      <c r="N42" s="4"/>
      <c r="S42" s="46"/>
      <c r="T42" s="43"/>
      <c r="U42" s="47"/>
      <c r="X42" s="49"/>
      <c r="Y42" s="4"/>
    </row>
    <row r="43" spans="4:32" x14ac:dyDescent="0.45">
      <c r="N43" s="4"/>
      <c r="S43" s="46"/>
      <c r="T43" s="43"/>
      <c r="U43" s="51"/>
      <c r="X43" s="49"/>
    </row>
    <row r="44" spans="4:32" x14ac:dyDescent="0.45">
      <c r="N44" s="4"/>
      <c r="S44" s="46"/>
      <c r="T44" s="44"/>
      <c r="U44" s="47"/>
      <c r="X44" s="49"/>
    </row>
    <row r="45" spans="4:32" x14ac:dyDescent="0.45">
      <c r="N45" s="4"/>
      <c r="S45" s="46"/>
      <c r="T45" s="44"/>
      <c r="U45" s="47"/>
      <c r="X45" s="49"/>
    </row>
    <row r="46" spans="4:32" x14ac:dyDescent="0.45">
      <c r="N46" s="4"/>
      <c r="S46" s="46"/>
      <c r="T46" s="44"/>
      <c r="U46" s="47"/>
      <c r="X46" s="49"/>
    </row>
    <row r="47" spans="4:32" x14ac:dyDescent="0.45">
      <c r="T47" s="40"/>
      <c r="U47" s="52"/>
      <c r="X47" s="49"/>
    </row>
  </sheetData>
  <mergeCells count="10">
    <mergeCell ref="AB2:AD2"/>
    <mergeCell ref="Y2:AA2"/>
    <mergeCell ref="P2:R2"/>
    <mergeCell ref="D2:F2"/>
    <mergeCell ref="G2:I2"/>
    <mergeCell ref="A2:C2"/>
    <mergeCell ref="J2:L2"/>
    <mergeCell ref="M2:O2"/>
    <mergeCell ref="S2:U2"/>
    <mergeCell ref="V2:X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FORMULA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543436211836</dc:creator>
  <cp:lastModifiedBy>SERGIO MONZON</cp:lastModifiedBy>
  <cp:lastPrinted>2023-12-20T22:16:38Z</cp:lastPrinted>
  <dcterms:created xsi:type="dcterms:W3CDTF">2023-06-22T11:51:26Z</dcterms:created>
  <dcterms:modified xsi:type="dcterms:W3CDTF">2026-04-23T18:20:45Z</dcterms:modified>
</cp:coreProperties>
</file>